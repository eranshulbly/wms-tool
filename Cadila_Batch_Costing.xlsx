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ch_Costing" sheetId="1" r:id="rId5"/>
  </sheets>
  <definedNames>
    <definedName hidden="1" localSheetId="0" name="_xlnm._FilterDatabase">Batch_Costing!$A$1:$U$77</definedName>
  </definedNames>
  <calcPr/>
</workbook>
</file>

<file path=xl/sharedStrings.xml><?xml version="1.0" encoding="utf-8"?>
<sst xmlns="http://schemas.openxmlformats.org/spreadsheetml/2006/main" count="478" uniqueCount="264">
  <si>
    <t>Product</t>
  </si>
  <si>
    <t>Batch</t>
  </si>
  <si>
    <t>Pack</t>
  </si>
  <si>
    <t>Exp</t>
  </si>
  <si>
    <t>HSN</t>
  </si>
  <si>
    <t>Qty</t>
  </si>
  <si>
    <t>Amount (Invoice)</t>
  </si>
  <si>
    <t>Net Amount (Invoice)</t>
  </si>
  <si>
    <t>Rate / Unit (Invoice)</t>
  </si>
  <si>
    <t>Amount (CN/DN)</t>
  </si>
  <si>
    <t>Net Amount (CN/DN)</t>
  </si>
  <si>
    <t>Rate / Unit (CN/DN)</t>
  </si>
  <si>
    <t>Final Amount</t>
  </si>
  <si>
    <t>Final Net Amount</t>
  </si>
  <si>
    <t>Landed Cost / Unit (ex-GST)</t>
  </si>
  <si>
    <t>Landed Cost / Unit (inc-GST)</t>
  </si>
  <si>
    <t>MRP / Unit</t>
  </si>
  <si>
    <t>Margin @+5%</t>
  </si>
  <si>
    <t>Margin @+10%</t>
  </si>
  <si>
    <t>Margin @+15%</t>
  </si>
  <si>
    <t>Doc No(s)</t>
  </si>
  <si>
    <t>ACENEXT MR TAB</t>
  </si>
  <si>
    <t>PI26019</t>
  </si>
  <si>
    <t>20X10T</t>
  </si>
  <si>
    <t>2/28</t>
  </si>
  <si>
    <t>30049069</t>
  </si>
  <si>
    <t>P000007</t>
  </si>
  <si>
    <t>ACENEXT P TAB</t>
  </si>
  <si>
    <t>PI26037</t>
  </si>
  <si>
    <t>30X10T</t>
  </si>
  <si>
    <t>3/28</t>
  </si>
  <si>
    <t>30049061</t>
  </si>
  <si>
    <t>P000005, PD00006</t>
  </si>
  <si>
    <t>ADD APP PLUS LIQUID</t>
  </si>
  <si>
    <t>SS26010</t>
  </si>
  <si>
    <t>200 ML</t>
  </si>
  <si>
    <t>4/28</t>
  </si>
  <si>
    <t>30049093</t>
  </si>
  <si>
    <t>P000015</t>
  </si>
  <si>
    <t>ADD APP SYRUP</t>
  </si>
  <si>
    <t>JKAE26005</t>
  </si>
  <si>
    <t>5/28</t>
  </si>
  <si>
    <t>ALERTRIZ 5MG TAB</t>
  </si>
  <si>
    <t>JKKPA26013</t>
  </si>
  <si>
    <t>5/29</t>
  </si>
  <si>
    <t>30049039</t>
  </si>
  <si>
    <t>P000002, PD00005</t>
  </si>
  <si>
    <t>ANSWELL TABLET</t>
  </si>
  <si>
    <t>JKAK26011</t>
  </si>
  <si>
    <t>20X10</t>
  </si>
  <si>
    <t>30049063</t>
  </si>
  <si>
    <t>P000003, PD00010</t>
  </si>
  <si>
    <t>JKAK26012</t>
  </si>
  <si>
    <t>AZIVISTA 250 TAB</t>
  </si>
  <si>
    <t>JKAP26008</t>
  </si>
  <si>
    <t>20X6T</t>
  </si>
  <si>
    <t>30049072</t>
  </si>
  <si>
    <t>P000014</t>
  </si>
  <si>
    <t>JKAP26009</t>
  </si>
  <si>
    <t>AZIVISTA 500 TAB</t>
  </si>
  <si>
    <t>JKARB26015</t>
  </si>
  <si>
    <t>20X3T</t>
  </si>
  <si>
    <t>CADLIZO 600MG TAB 10X10 T</t>
  </si>
  <si>
    <t>SN26023</t>
  </si>
  <si>
    <t>10X10</t>
  </si>
  <si>
    <t>30049087</t>
  </si>
  <si>
    <t>P000008, PD00007</t>
  </si>
  <si>
    <t>CALCIGEN D3 NANO</t>
  </si>
  <si>
    <t>RB26003</t>
  </si>
  <si>
    <t>4X5 ML</t>
  </si>
  <si>
    <t>11/27</t>
  </si>
  <si>
    <t>30045036</t>
  </si>
  <si>
    <t>CALCIGEN D3 SOFT CAP</t>
  </si>
  <si>
    <t>EP26008</t>
  </si>
  <si>
    <t>10x4 C</t>
  </si>
  <si>
    <t>CAMPICILLIN 250 CAP</t>
  </si>
  <si>
    <t>AA26005</t>
  </si>
  <si>
    <t>30X10</t>
  </si>
  <si>
    <t>30041020</t>
  </si>
  <si>
    <t>CAMPICILLIN 500MG CAP</t>
  </si>
  <si>
    <t>AB26004</t>
  </si>
  <si>
    <t>CIPRODAC-250 TABLET</t>
  </si>
  <si>
    <t>CT26011</t>
  </si>
  <si>
    <t>3/29</t>
  </si>
  <si>
    <t>30042033</t>
  </si>
  <si>
    <t>P000008</t>
  </si>
  <si>
    <t>CIPRODAC-500 TABLET</t>
  </si>
  <si>
    <t>JKBD26062</t>
  </si>
  <si>
    <t>COTRIMOXAZOLE DS TAB</t>
  </si>
  <si>
    <t>JKBE26039</t>
  </si>
  <si>
    <t>5/30</t>
  </si>
  <si>
    <t>30043913</t>
  </si>
  <si>
    <t>P000003</t>
  </si>
  <si>
    <t>JKBE26040</t>
  </si>
  <si>
    <t>DEFOCAD 6MG TAB 20X10 T</t>
  </si>
  <si>
    <t>JKBG26003</t>
  </si>
  <si>
    <t>DEMISONE TAB</t>
  </si>
  <si>
    <t>JKBH26101</t>
  </si>
  <si>
    <t>40X10T</t>
  </si>
  <si>
    <t>DEXAMETHASONE TABLET</t>
  </si>
  <si>
    <t>JKBK26103</t>
  </si>
  <si>
    <t>12X200</t>
  </si>
  <si>
    <t>JKBK26104</t>
  </si>
  <si>
    <t>DEXASONE INJ.</t>
  </si>
  <si>
    <t>AB26038</t>
  </si>
  <si>
    <t>2 ML</t>
  </si>
  <si>
    <t>P000001</t>
  </si>
  <si>
    <t>DEXASONE INJ. 20 ML</t>
  </si>
  <si>
    <t>MP26055</t>
  </si>
  <si>
    <t>20 ml</t>
  </si>
  <si>
    <t>P000010</t>
  </si>
  <si>
    <t>MP26056</t>
  </si>
  <si>
    <t>DP GESIC PAIN RELIEVER OIL</t>
  </si>
  <si>
    <t>ID26012</t>
  </si>
  <si>
    <t>50 ML</t>
  </si>
  <si>
    <t>2/31</t>
  </si>
  <si>
    <t>30049011</t>
  </si>
  <si>
    <t>P000009</t>
  </si>
  <si>
    <t>DP GESIC TABLET</t>
  </si>
  <si>
    <t>OY26057</t>
  </si>
  <si>
    <t>OY26058</t>
  </si>
  <si>
    <t>FLUZON</t>
  </si>
  <si>
    <t>JKCK26004</t>
  </si>
  <si>
    <t>72 x 1</t>
  </si>
  <si>
    <t>30049079</t>
  </si>
  <si>
    <t>GEMCIUM</t>
  </si>
  <si>
    <t>JSHXA26021</t>
  </si>
  <si>
    <t>30049099</t>
  </si>
  <si>
    <t>GENKA INJ. 10 ML</t>
  </si>
  <si>
    <t>MP26002</t>
  </si>
  <si>
    <t>10 ml</t>
  </si>
  <si>
    <t>P000006</t>
  </si>
  <si>
    <t>GENKA INJ. 20ML</t>
  </si>
  <si>
    <t>MP26046</t>
  </si>
  <si>
    <t>20ml</t>
  </si>
  <si>
    <t>ITRADILA 100 CAP (10's)</t>
  </si>
  <si>
    <t>JKKXA26002</t>
  </si>
  <si>
    <t>30049029</t>
  </si>
  <si>
    <t>P000004</t>
  </si>
  <si>
    <t>ITRADILA 200MG CAP (10's)</t>
  </si>
  <si>
    <t>IG26050</t>
  </si>
  <si>
    <t>IG26051</t>
  </si>
  <si>
    <t>LEVOZET M TAB</t>
  </si>
  <si>
    <t>SP260537</t>
  </si>
  <si>
    <t>20 x 1</t>
  </si>
  <si>
    <t>P000007, PD00008</t>
  </si>
  <si>
    <t>LOPERAMIDE 2MG CAP</t>
  </si>
  <si>
    <t>JKDE26013</t>
  </si>
  <si>
    <t>P000011</t>
  </si>
  <si>
    <t>METBETIC GL1 TAB 10X15 T</t>
  </si>
  <si>
    <t>JKDPA26028</t>
  </si>
  <si>
    <t>10X15</t>
  </si>
  <si>
    <t>P000004, PD00009</t>
  </si>
  <si>
    <t>METBETIC GL2 TAB</t>
  </si>
  <si>
    <t>JKDRA26035</t>
  </si>
  <si>
    <t>MOKCAN 250 DISP.TAB</t>
  </si>
  <si>
    <t>AF26015</t>
  </si>
  <si>
    <t>30041030</t>
  </si>
  <si>
    <t>MOKCAN CV 625 TAB</t>
  </si>
  <si>
    <t>SH260006</t>
  </si>
  <si>
    <t>20X6 T</t>
  </si>
  <si>
    <t>1/28</t>
  </si>
  <si>
    <t>30041090</t>
  </si>
  <si>
    <t>SH260007</t>
  </si>
  <si>
    <t>NEW SNEEZY TABLET</t>
  </si>
  <si>
    <t>SP262337</t>
  </si>
  <si>
    <t>NOGACID 20MG CAP</t>
  </si>
  <si>
    <t>JKEN26011</t>
  </si>
  <si>
    <t>20X15</t>
  </si>
  <si>
    <t>30049034</t>
  </si>
  <si>
    <t>NOGACID-D CAP</t>
  </si>
  <si>
    <t>AP264709</t>
  </si>
  <si>
    <t>OFLOSTAR 200</t>
  </si>
  <si>
    <t>LKER26001</t>
  </si>
  <si>
    <t>30x10</t>
  </si>
  <si>
    <t>2/29</t>
  </si>
  <si>
    <t>ONVIN 20 MG</t>
  </si>
  <si>
    <t>MP26001</t>
  </si>
  <si>
    <t>10 ML</t>
  </si>
  <si>
    <t>30049035</t>
  </si>
  <si>
    <t>ONVIN 4 MD TAB</t>
  </si>
  <si>
    <t>PF26015</t>
  </si>
  <si>
    <t>30033900</t>
  </si>
  <si>
    <t>ORITAXIM O 200</t>
  </si>
  <si>
    <t>EA26223</t>
  </si>
  <si>
    <t>30042019</t>
  </si>
  <si>
    <t>ORITAXIM OF TAB</t>
  </si>
  <si>
    <t>IJC26001</t>
  </si>
  <si>
    <t>10x10T</t>
  </si>
  <si>
    <t>PENTALOC 40 MG</t>
  </si>
  <si>
    <t>JKFD26012</t>
  </si>
  <si>
    <t>20X15T</t>
  </si>
  <si>
    <t>PENTALOC D TAB</t>
  </si>
  <si>
    <t>JKFC26003</t>
  </si>
  <si>
    <t>PENTALOC DSR CAP</t>
  </si>
  <si>
    <t>IG26045</t>
  </si>
  <si>
    <t>20X10C</t>
  </si>
  <si>
    <t>30022019</t>
  </si>
  <si>
    <t>P000014, PD00001</t>
  </si>
  <si>
    <t>PENTALOC I/V</t>
  </si>
  <si>
    <t>AV26039</t>
  </si>
  <si>
    <t>P000012</t>
  </si>
  <si>
    <t>POVICIDAL 20 GM CREAM</t>
  </si>
  <si>
    <t>GC26015</t>
  </si>
  <si>
    <t>20 GM</t>
  </si>
  <si>
    <t>30032000</t>
  </si>
  <si>
    <t>POVICIDAL 250 GM CREAM</t>
  </si>
  <si>
    <t>GC26016</t>
  </si>
  <si>
    <t>250 GM</t>
  </si>
  <si>
    <t>POVICIDAL POWDER</t>
  </si>
  <si>
    <t>NP26006</t>
  </si>
  <si>
    <t>10 GM</t>
  </si>
  <si>
    <t>RIFAGREAT 200 TAB 10X10 T</t>
  </si>
  <si>
    <t>IG25078</t>
  </si>
  <si>
    <t>RIFAGREAT 400</t>
  </si>
  <si>
    <t>IG26029</t>
  </si>
  <si>
    <t>9/28</t>
  </si>
  <si>
    <t>P000015, PD00002</t>
  </si>
  <si>
    <t>ROSUBEST 20 TAB</t>
  </si>
  <si>
    <t>JKFVA26011</t>
  </si>
  <si>
    <t>15 x 1</t>
  </si>
  <si>
    <t>30042062</t>
  </si>
  <si>
    <t>ROSUBEST 40 TAB</t>
  </si>
  <si>
    <t>SP264209</t>
  </si>
  <si>
    <t>10 x 1</t>
  </si>
  <si>
    <t>ROSUBEST F TAB</t>
  </si>
  <si>
    <t>PC26010</t>
  </si>
  <si>
    <t>ROXIVISTA 150 TAB</t>
  </si>
  <si>
    <t>JKFY26002</t>
  </si>
  <si>
    <t>SKINSHINE CREAM</t>
  </si>
  <si>
    <t>E26386</t>
  </si>
  <si>
    <t>15 GM</t>
  </si>
  <si>
    <t>P000013</t>
  </si>
  <si>
    <t>E26387</t>
  </si>
  <si>
    <t>SKINSHINE SOAP</t>
  </si>
  <si>
    <t>EA26242</t>
  </si>
  <si>
    <t>75 GM</t>
  </si>
  <si>
    <t>34011941</t>
  </si>
  <si>
    <t>P000014, PD00003</t>
  </si>
  <si>
    <t>EA26243</t>
  </si>
  <si>
    <t>STARMOL 500</t>
  </si>
  <si>
    <t>SK25129</t>
  </si>
  <si>
    <t>50x10</t>
  </si>
  <si>
    <t>10/28</t>
  </si>
  <si>
    <t>TERBICAD GM CREAM</t>
  </si>
  <si>
    <t>C26023</t>
  </si>
  <si>
    <t>P000015, PD00004</t>
  </si>
  <si>
    <t>TINVISTA 300 TAB</t>
  </si>
  <si>
    <t>JKGJ25001</t>
  </si>
  <si>
    <t>8/29</t>
  </si>
  <si>
    <t>UDICYTE 150 TAB</t>
  </si>
  <si>
    <t>I26004</t>
  </si>
  <si>
    <t>30049036</t>
  </si>
  <si>
    <t>UDICYTE 300 TAB</t>
  </si>
  <si>
    <t>I26005</t>
  </si>
  <si>
    <t>VISTADROX 250 DT TAB</t>
  </si>
  <si>
    <t>CY26003</t>
  </si>
  <si>
    <t>30042070</t>
  </si>
  <si>
    <t>VISTADROX 500 TAB</t>
  </si>
  <si>
    <t>DQ26002</t>
  </si>
  <si>
    <t>VOLICAD 30 GM</t>
  </si>
  <si>
    <t>SP26016</t>
  </si>
  <si>
    <t>30 GM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</si>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</sst>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\(#,##0\);\-"/>
    <numFmt numFmtId="165" formatCode="\₹#,##0.00;&quot;(₹&quot;#,##0.00\);\-"/>
  </numFmts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rgb="FF0000FF"/>
      <name val="Arial"/>
    </font>
    <font>
      <sz val="10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B6D7A8"/>
        <bgColor rgb="FFB6D7A8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shrinkToFit="0" vertical="bottom" wrapText="0"/>
    </xf>
    <xf borderId="2" fillId="0" fontId="2" numFmtId="164" xfId="0" applyAlignment="1" applyBorder="1" applyFont="1" applyNumberFormat="1">
      <alignment shrinkToFit="0" vertical="bottom" wrapText="0"/>
    </xf>
    <xf borderId="2" fillId="0" fontId="2" numFmtId="165" xfId="0" applyAlignment="1" applyBorder="1" applyFont="1" applyNumberFormat="1">
      <alignment shrinkToFit="0" vertical="bottom" wrapText="0"/>
    </xf>
    <xf borderId="2" fillId="0" fontId="3" numFmtId="165" xfId="0" applyAlignment="1" applyBorder="1" applyFont="1" applyNumberFormat="1">
      <alignment shrinkToFit="0" vertical="bottom" wrapText="0"/>
    </xf>
    <xf borderId="2" fillId="3" fontId="4" numFmtId="165" xfId="0" applyAlignment="1" applyBorder="1" applyFill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4.43" defaultRowHeight="15.0"/>
  <cols>
    <col customWidth="1" min="1" max="1" width="28.57"/>
    <col customWidth="1" min="2" max="2" width="12.71"/>
    <col customWidth="1" hidden="1" min="3" max="5" width="24.57"/>
    <col customWidth="1" min="6" max="6" width="8.0"/>
    <col customWidth="1" hidden="1" min="7" max="8" width="24.57"/>
    <col customWidth="1" min="9" max="9" width="13.43"/>
    <col customWidth="1" hidden="1" min="10" max="11" width="24.57"/>
    <col customWidth="1" min="12" max="12" width="13.43"/>
    <col customWidth="1" hidden="1" min="13" max="14" width="24.57"/>
    <col customWidth="1" min="15" max="16" width="20.86"/>
    <col customWidth="1" hidden="1" min="17" max="17" width="24.57"/>
    <col customWidth="1" min="18" max="18" width="16.43"/>
    <col customWidth="1" min="19" max="20" width="17.57"/>
    <col customWidth="1" hidden="1" min="21" max="21" width="24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3">
        <v>1600.0</v>
      </c>
      <c r="G2" s="4">
        <v>18746.56</v>
      </c>
      <c r="H2" s="4">
        <v>19683.89</v>
      </c>
      <c r="I2" s="5">
        <f t="shared" ref="I2:I77" si="2">IFERROR(G2/F2,"")</f>
        <v>11.7166</v>
      </c>
      <c r="J2" s="4">
        <v>0.0</v>
      </c>
      <c r="K2" s="4">
        <v>0.0</v>
      </c>
      <c r="L2" s="5">
        <f t="shared" ref="L2:L77" si="3">IFERROR(J2/F2,"")</f>
        <v>0</v>
      </c>
      <c r="M2" s="5">
        <f t="shared" ref="M2:N2" si="1">G2+J2</f>
        <v>18746.56</v>
      </c>
      <c r="N2" s="5">
        <f t="shared" si="1"/>
        <v>19683.89</v>
      </c>
      <c r="O2" s="6">
        <f t="shared" ref="O2:O77" si="5">IFERROR(M2/F2,"")</f>
        <v>11.7166</v>
      </c>
      <c r="P2" s="5">
        <f t="shared" ref="P2:P77" si="6">IFERROR(N2/F2,"")</f>
        <v>12.30243125</v>
      </c>
      <c r="Q2" s="4">
        <v>115.08</v>
      </c>
      <c r="R2" s="4">
        <f t="shared" ref="R2:R77" si="7">1.05*$P2</f>
        <v>12.91755281</v>
      </c>
      <c r="S2" s="4">
        <f t="shared" ref="S2:S77" si="8">1.1*$P2</f>
        <v>13.53267438</v>
      </c>
      <c r="T2" s="4">
        <f t="shared" ref="T2:T77" si="9">1.15*$P2</f>
        <v>14.14779594</v>
      </c>
      <c r="U2" s="2" t="s">
        <v>26</v>
      </c>
    </row>
    <row r="3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3">
        <v>3000.0</v>
      </c>
      <c r="G3" s="4">
        <v>19444.8</v>
      </c>
      <c r="H3" s="4">
        <v>20417.04</v>
      </c>
      <c r="I3" s="5">
        <f t="shared" si="2"/>
        <v>6.4816</v>
      </c>
      <c r="J3" s="4">
        <v>-933.3</v>
      </c>
      <c r="K3" s="4">
        <v>-979.97</v>
      </c>
      <c r="L3" s="5">
        <f t="shared" si="3"/>
        <v>-0.3111</v>
      </c>
      <c r="M3" s="5">
        <f t="shared" ref="M3:N3" si="4">G3+J3</f>
        <v>18511.5</v>
      </c>
      <c r="N3" s="5">
        <f t="shared" si="4"/>
        <v>19437.07</v>
      </c>
      <c r="O3" s="6">
        <f t="shared" si="5"/>
        <v>6.1705</v>
      </c>
      <c r="P3" s="5">
        <f t="shared" si="6"/>
        <v>6.479023333</v>
      </c>
      <c r="Q3" s="4">
        <v>65.48</v>
      </c>
      <c r="R3" s="4">
        <f t="shared" si="7"/>
        <v>6.8029745</v>
      </c>
      <c r="S3" s="4">
        <f t="shared" si="8"/>
        <v>7.126925667</v>
      </c>
      <c r="T3" s="4">
        <f t="shared" si="9"/>
        <v>7.450876833</v>
      </c>
      <c r="U3" s="2" t="s">
        <v>32</v>
      </c>
    </row>
    <row r="4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3">
        <v>1200.0</v>
      </c>
      <c r="G4" s="4">
        <v>35400.0</v>
      </c>
      <c r="H4" s="4">
        <v>37170.0</v>
      </c>
      <c r="I4" s="5">
        <f t="shared" si="2"/>
        <v>29.5</v>
      </c>
      <c r="J4" s="4">
        <v>0.0</v>
      </c>
      <c r="K4" s="4">
        <v>0.0</v>
      </c>
      <c r="L4" s="5">
        <f t="shared" si="3"/>
        <v>0</v>
      </c>
      <c r="M4" s="5">
        <f t="shared" ref="M4:N4" si="10">G4+J4</f>
        <v>35400</v>
      </c>
      <c r="N4" s="5">
        <f t="shared" si="10"/>
        <v>37170</v>
      </c>
      <c r="O4" s="6">
        <f t="shared" si="5"/>
        <v>29.5</v>
      </c>
      <c r="P4" s="5">
        <f t="shared" si="6"/>
        <v>30.975</v>
      </c>
      <c r="Q4" s="4">
        <v>163.83</v>
      </c>
      <c r="R4" s="4">
        <f t="shared" si="7"/>
        <v>32.52375</v>
      </c>
      <c r="S4" s="4">
        <f t="shared" si="8"/>
        <v>34.0725</v>
      </c>
      <c r="T4" s="4">
        <f t="shared" si="9"/>
        <v>35.62125</v>
      </c>
      <c r="U4" s="2" t="s">
        <v>38</v>
      </c>
    </row>
    <row r="5">
      <c r="A5" s="2" t="s">
        <v>39</v>
      </c>
      <c r="B5" s="2" t="s">
        <v>40</v>
      </c>
      <c r="C5" s="2" t="s">
        <v>35</v>
      </c>
      <c r="D5" s="2" t="s">
        <v>41</v>
      </c>
      <c r="E5" s="2" t="s">
        <v>37</v>
      </c>
      <c r="F5" s="3">
        <v>1200.0</v>
      </c>
      <c r="G5" s="4">
        <v>30582.48</v>
      </c>
      <c r="H5" s="4">
        <v>32111.6</v>
      </c>
      <c r="I5" s="5">
        <f t="shared" si="2"/>
        <v>25.4854</v>
      </c>
      <c r="J5" s="4">
        <v>0.0</v>
      </c>
      <c r="K5" s="4">
        <v>0.0</v>
      </c>
      <c r="L5" s="5">
        <f t="shared" si="3"/>
        <v>0</v>
      </c>
      <c r="M5" s="5">
        <f t="shared" ref="M5:N5" si="11">G5+J5</f>
        <v>30582.48</v>
      </c>
      <c r="N5" s="5">
        <f t="shared" si="11"/>
        <v>32111.6</v>
      </c>
      <c r="O5" s="6">
        <f t="shared" si="5"/>
        <v>25.4854</v>
      </c>
      <c r="P5" s="5">
        <f t="shared" si="6"/>
        <v>26.75966667</v>
      </c>
      <c r="Q5" s="4">
        <v>138.66</v>
      </c>
      <c r="R5" s="4">
        <f t="shared" si="7"/>
        <v>28.09765</v>
      </c>
      <c r="S5" s="4">
        <f t="shared" si="8"/>
        <v>29.43563333</v>
      </c>
      <c r="T5" s="4">
        <f t="shared" si="9"/>
        <v>30.77361667</v>
      </c>
      <c r="U5" s="2" t="s">
        <v>38</v>
      </c>
    </row>
    <row r="6">
      <c r="A6" s="2" t="s">
        <v>42</v>
      </c>
      <c r="B6" s="2" t="s">
        <v>43</v>
      </c>
      <c r="C6" s="2" t="s">
        <v>29</v>
      </c>
      <c r="D6" s="2" t="s">
        <v>44</v>
      </c>
      <c r="E6" s="2" t="s">
        <v>45</v>
      </c>
      <c r="F6" s="3">
        <v>126720.0</v>
      </c>
      <c r="G6" s="4">
        <v>380160.0</v>
      </c>
      <c r="H6" s="4">
        <v>399168.0</v>
      </c>
      <c r="I6" s="5">
        <f t="shared" si="2"/>
        <v>3</v>
      </c>
      <c r="J6" s="4">
        <v>-8072.06</v>
      </c>
      <c r="K6" s="4">
        <v>-8475.66</v>
      </c>
      <c r="L6" s="5">
        <f t="shared" si="3"/>
        <v>-0.06369996843</v>
      </c>
      <c r="M6" s="5">
        <f t="shared" ref="M6:N6" si="12">G6+J6</f>
        <v>372087.94</v>
      </c>
      <c r="N6" s="5">
        <f t="shared" si="12"/>
        <v>390692.34</v>
      </c>
      <c r="O6" s="6">
        <f t="shared" si="5"/>
        <v>2.936300032</v>
      </c>
      <c r="P6" s="5">
        <f t="shared" si="6"/>
        <v>3.083115057</v>
      </c>
      <c r="Q6" s="4">
        <v>52.73</v>
      </c>
      <c r="R6" s="4">
        <f t="shared" si="7"/>
        <v>3.23727081</v>
      </c>
      <c r="S6" s="4">
        <f t="shared" si="8"/>
        <v>3.391426563</v>
      </c>
      <c r="T6" s="4">
        <f t="shared" si="9"/>
        <v>3.545582315</v>
      </c>
      <c r="U6" s="2" t="s">
        <v>46</v>
      </c>
    </row>
    <row r="7">
      <c r="A7" s="2" t="s">
        <v>47</v>
      </c>
      <c r="B7" s="2" t="s">
        <v>48</v>
      </c>
      <c r="C7" s="2" t="s">
        <v>49</v>
      </c>
      <c r="D7" s="2" t="s">
        <v>41</v>
      </c>
      <c r="E7" s="2" t="s">
        <v>50</v>
      </c>
      <c r="F7" s="3">
        <v>200.0</v>
      </c>
      <c r="G7" s="4">
        <v>1647.86</v>
      </c>
      <c r="H7" s="4">
        <v>1730.25</v>
      </c>
      <c r="I7" s="5">
        <f t="shared" si="2"/>
        <v>8.2393</v>
      </c>
      <c r="J7" s="4">
        <v>-41.16</v>
      </c>
      <c r="K7" s="4">
        <v>-43.22</v>
      </c>
      <c r="L7" s="5">
        <f t="shared" si="3"/>
        <v>-0.2058</v>
      </c>
      <c r="M7" s="5">
        <f t="shared" ref="M7:N7" si="13">G7+J7</f>
        <v>1606.7</v>
      </c>
      <c r="N7" s="5">
        <f t="shared" si="13"/>
        <v>1687.03</v>
      </c>
      <c r="O7" s="6">
        <f t="shared" si="5"/>
        <v>8.0335</v>
      </c>
      <c r="P7" s="5">
        <f t="shared" si="6"/>
        <v>8.43515</v>
      </c>
      <c r="Q7" s="4">
        <v>16.95</v>
      </c>
      <c r="R7" s="4">
        <f t="shared" si="7"/>
        <v>8.8569075</v>
      </c>
      <c r="S7" s="4">
        <f t="shared" si="8"/>
        <v>9.278665</v>
      </c>
      <c r="T7" s="4">
        <f t="shared" si="9"/>
        <v>9.7004225</v>
      </c>
      <c r="U7" s="2" t="s">
        <v>51</v>
      </c>
    </row>
    <row r="8">
      <c r="A8" s="2" t="s">
        <v>47</v>
      </c>
      <c r="B8" s="2" t="s">
        <v>52</v>
      </c>
      <c r="C8" s="2" t="s">
        <v>49</v>
      </c>
      <c r="D8" s="2" t="s">
        <v>41</v>
      </c>
      <c r="E8" s="2" t="s">
        <v>50</v>
      </c>
      <c r="F8" s="3">
        <v>11800.0</v>
      </c>
      <c r="G8" s="4">
        <v>97223.74</v>
      </c>
      <c r="H8" s="4">
        <v>102084.93</v>
      </c>
      <c r="I8" s="5">
        <f t="shared" si="2"/>
        <v>8.2393</v>
      </c>
      <c r="J8" s="4">
        <v>-2428.44</v>
      </c>
      <c r="K8" s="4">
        <v>-2549.86</v>
      </c>
      <c r="L8" s="5">
        <f t="shared" si="3"/>
        <v>-0.2058</v>
      </c>
      <c r="M8" s="5">
        <f t="shared" ref="M8:N8" si="14">G8+J8</f>
        <v>94795.3</v>
      </c>
      <c r="N8" s="5">
        <f t="shared" si="14"/>
        <v>99535.07</v>
      </c>
      <c r="O8" s="6">
        <f t="shared" si="5"/>
        <v>8.0335</v>
      </c>
      <c r="P8" s="5">
        <f t="shared" si="6"/>
        <v>8.435175424</v>
      </c>
      <c r="Q8" s="4">
        <v>16.95</v>
      </c>
      <c r="R8" s="4">
        <f t="shared" si="7"/>
        <v>8.856934195</v>
      </c>
      <c r="S8" s="4">
        <f t="shared" si="8"/>
        <v>9.278692966</v>
      </c>
      <c r="T8" s="4">
        <f t="shared" si="9"/>
        <v>9.700451737</v>
      </c>
      <c r="U8" s="2" t="s">
        <v>51</v>
      </c>
    </row>
    <row r="9">
      <c r="A9" s="2" t="s">
        <v>53</v>
      </c>
      <c r="B9" s="2" t="s">
        <v>54</v>
      </c>
      <c r="C9" s="2" t="s">
        <v>55</v>
      </c>
      <c r="D9" s="2" t="s">
        <v>36</v>
      </c>
      <c r="E9" s="2" t="s">
        <v>56</v>
      </c>
      <c r="F9" s="3">
        <v>5180.0</v>
      </c>
      <c r="G9" s="4">
        <v>131572.0</v>
      </c>
      <c r="H9" s="4">
        <v>138150.6</v>
      </c>
      <c r="I9" s="5">
        <f t="shared" si="2"/>
        <v>25.4</v>
      </c>
      <c r="J9" s="4">
        <v>0.0</v>
      </c>
      <c r="K9" s="4">
        <v>0.0</v>
      </c>
      <c r="L9" s="5">
        <f t="shared" si="3"/>
        <v>0</v>
      </c>
      <c r="M9" s="5">
        <f t="shared" ref="M9:N9" si="15">G9+J9</f>
        <v>131572</v>
      </c>
      <c r="N9" s="5">
        <f t="shared" si="15"/>
        <v>138150.6</v>
      </c>
      <c r="O9" s="6">
        <f t="shared" si="5"/>
        <v>25.4</v>
      </c>
      <c r="P9" s="5">
        <f t="shared" si="6"/>
        <v>26.67</v>
      </c>
      <c r="Q9" s="4">
        <v>75.1</v>
      </c>
      <c r="R9" s="4">
        <f t="shared" si="7"/>
        <v>28.0035</v>
      </c>
      <c r="S9" s="4">
        <f t="shared" si="8"/>
        <v>29.337</v>
      </c>
      <c r="T9" s="4">
        <f t="shared" si="9"/>
        <v>30.6705</v>
      </c>
      <c r="U9" s="2" t="s">
        <v>57</v>
      </c>
    </row>
    <row r="10">
      <c r="A10" s="2" t="s">
        <v>53</v>
      </c>
      <c r="B10" s="2" t="s">
        <v>58</v>
      </c>
      <c r="C10" s="2" t="s">
        <v>55</v>
      </c>
      <c r="D10" s="2" t="s">
        <v>36</v>
      </c>
      <c r="E10" s="2" t="s">
        <v>56</v>
      </c>
      <c r="F10" s="3">
        <v>1220.0</v>
      </c>
      <c r="G10" s="4">
        <v>30988.0</v>
      </c>
      <c r="H10" s="4">
        <v>32537.4</v>
      </c>
      <c r="I10" s="5">
        <f t="shared" si="2"/>
        <v>25.4</v>
      </c>
      <c r="J10" s="4">
        <v>0.0</v>
      </c>
      <c r="K10" s="4">
        <v>0.0</v>
      </c>
      <c r="L10" s="5">
        <f t="shared" si="3"/>
        <v>0</v>
      </c>
      <c r="M10" s="5">
        <f t="shared" ref="M10:N10" si="16">G10+J10</f>
        <v>30988</v>
      </c>
      <c r="N10" s="5">
        <f t="shared" si="16"/>
        <v>32537.4</v>
      </c>
      <c r="O10" s="6">
        <f t="shared" si="5"/>
        <v>25.4</v>
      </c>
      <c r="P10" s="5">
        <f t="shared" si="6"/>
        <v>26.67</v>
      </c>
      <c r="Q10" s="4">
        <v>75.1</v>
      </c>
      <c r="R10" s="4">
        <f t="shared" si="7"/>
        <v>28.0035</v>
      </c>
      <c r="S10" s="4">
        <f t="shared" si="8"/>
        <v>29.337</v>
      </c>
      <c r="T10" s="4">
        <f t="shared" si="9"/>
        <v>30.6705</v>
      </c>
      <c r="U10" s="2" t="s">
        <v>57</v>
      </c>
    </row>
    <row r="11">
      <c r="A11" s="2" t="s">
        <v>59</v>
      </c>
      <c r="B11" s="2" t="s">
        <v>60</v>
      </c>
      <c r="C11" s="2" t="s">
        <v>61</v>
      </c>
      <c r="D11" s="2" t="s">
        <v>41</v>
      </c>
      <c r="E11" s="2" t="s">
        <v>56</v>
      </c>
      <c r="F11" s="3">
        <v>4500.0</v>
      </c>
      <c r="G11" s="4">
        <v>114300.0</v>
      </c>
      <c r="H11" s="4">
        <v>120015.0</v>
      </c>
      <c r="I11" s="5">
        <f t="shared" si="2"/>
        <v>25.4</v>
      </c>
      <c r="J11" s="4">
        <v>0.0</v>
      </c>
      <c r="K11" s="4">
        <v>0.0</v>
      </c>
      <c r="L11" s="5">
        <f t="shared" si="3"/>
        <v>0</v>
      </c>
      <c r="M11" s="5">
        <f t="shared" ref="M11:N11" si="17">G11+J11</f>
        <v>114300</v>
      </c>
      <c r="N11" s="5">
        <f t="shared" si="17"/>
        <v>120015</v>
      </c>
      <c r="O11" s="6">
        <f t="shared" si="5"/>
        <v>25.4</v>
      </c>
      <c r="P11" s="5">
        <f t="shared" si="6"/>
        <v>26.67</v>
      </c>
      <c r="Q11" s="4">
        <v>76.0</v>
      </c>
      <c r="R11" s="4">
        <f t="shared" si="7"/>
        <v>28.0035</v>
      </c>
      <c r="S11" s="4">
        <f t="shared" si="8"/>
        <v>29.337</v>
      </c>
      <c r="T11" s="4">
        <f t="shared" si="9"/>
        <v>30.6705</v>
      </c>
      <c r="U11" s="2" t="s">
        <v>57</v>
      </c>
    </row>
    <row r="12">
      <c r="A12" s="2" t="s">
        <v>62</v>
      </c>
      <c r="B12" s="2" t="s">
        <v>63</v>
      </c>
      <c r="C12" s="2" t="s">
        <v>64</v>
      </c>
      <c r="D12" s="2" t="s">
        <v>30</v>
      </c>
      <c r="E12" s="2" t="s">
        <v>65</v>
      </c>
      <c r="F12" s="3">
        <v>2000.0</v>
      </c>
      <c r="G12" s="4">
        <v>136666.6</v>
      </c>
      <c r="H12" s="4">
        <v>143499.93</v>
      </c>
      <c r="I12" s="5">
        <f t="shared" si="2"/>
        <v>68.3333</v>
      </c>
      <c r="J12" s="4">
        <v>-2240.6</v>
      </c>
      <c r="K12" s="4">
        <v>-2352.63</v>
      </c>
      <c r="L12" s="5">
        <f t="shared" si="3"/>
        <v>-1.1203</v>
      </c>
      <c r="M12" s="5">
        <f t="shared" ref="M12:N12" si="18">G12+J12</f>
        <v>134426</v>
      </c>
      <c r="N12" s="5">
        <f t="shared" si="18"/>
        <v>141147.3</v>
      </c>
      <c r="O12" s="6">
        <f t="shared" si="5"/>
        <v>67.213</v>
      </c>
      <c r="P12" s="5">
        <f t="shared" si="6"/>
        <v>70.57365</v>
      </c>
      <c r="Q12" s="4">
        <v>383.43</v>
      </c>
      <c r="R12" s="4">
        <f t="shared" si="7"/>
        <v>74.1023325</v>
      </c>
      <c r="S12" s="4">
        <f t="shared" si="8"/>
        <v>77.631015</v>
      </c>
      <c r="T12" s="4">
        <f t="shared" si="9"/>
        <v>81.1596975</v>
      </c>
      <c r="U12" s="2" t="s">
        <v>66</v>
      </c>
    </row>
    <row r="13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3">
        <v>2400.0</v>
      </c>
      <c r="G13" s="4">
        <v>31898.4</v>
      </c>
      <c r="H13" s="4">
        <v>33493.32</v>
      </c>
      <c r="I13" s="5">
        <f t="shared" si="2"/>
        <v>13.291</v>
      </c>
      <c r="J13" s="4">
        <v>0.0</v>
      </c>
      <c r="K13" s="4">
        <v>0.0</v>
      </c>
      <c r="L13" s="5">
        <f t="shared" si="3"/>
        <v>0</v>
      </c>
      <c r="M13" s="5">
        <f t="shared" ref="M13:N13" si="19">G13+J13</f>
        <v>31898.4</v>
      </c>
      <c r="N13" s="5">
        <f t="shared" si="19"/>
        <v>33493.32</v>
      </c>
      <c r="O13" s="6">
        <f t="shared" si="5"/>
        <v>13.291</v>
      </c>
      <c r="P13" s="5">
        <f t="shared" si="6"/>
        <v>13.95555</v>
      </c>
      <c r="Q13" s="4">
        <v>69.42</v>
      </c>
      <c r="R13" s="4">
        <f t="shared" si="7"/>
        <v>14.6533275</v>
      </c>
      <c r="S13" s="4">
        <f t="shared" si="8"/>
        <v>15.351105</v>
      </c>
      <c r="T13" s="4">
        <f t="shared" si="9"/>
        <v>16.0488825</v>
      </c>
      <c r="U13" s="2" t="s">
        <v>26</v>
      </c>
    </row>
    <row r="14">
      <c r="A14" s="2" t="s">
        <v>72</v>
      </c>
      <c r="B14" s="2" t="s">
        <v>73</v>
      </c>
      <c r="C14" s="2" t="s">
        <v>74</v>
      </c>
      <c r="D14" s="2" t="s">
        <v>36</v>
      </c>
      <c r="E14" s="2" t="s">
        <v>71</v>
      </c>
      <c r="F14" s="3">
        <v>2500.0</v>
      </c>
      <c r="G14" s="4">
        <v>36325.0</v>
      </c>
      <c r="H14" s="4">
        <v>38141.25</v>
      </c>
      <c r="I14" s="5">
        <f t="shared" si="2"/>
        <v>14.53</v>
      </c>
      <c r="J14" s="4">
        <v>0.0</v>
      </c>
      <c r="K14" s="4">
        <v>0.0</v>
      </c>
      <c r="L14" s="5">
        <f t="shared" si="3"/>
        <v>0</v>
      </c>
      <c r="M14" s="5">
        <f t="shared" ref="M14:N14" si="20">G14+J14</f>
        <v>36325</v>
      </c>
      <c r="N14" s="5">
        <f t="shared" si="20"/>
        <v>38141.25</v>
      </c>
      <c r="O14" s="6">
        <f t="shared" si="5"/>
        <v>14.53</v>
      </c>
      <c r="P14" s="5">
        <f t="shared" si="6"/>
        <v>15.2565</v>
      </c>
      <c r="Q14" s="4">
        <v>132.34</v>
      </c>
      <c r="R14" s="4">
        <f t="shared" si="7"/>
        <v>16.019325</v>
      </c>
      <c r="S14" s="4">
        <f t="shared" si="8"/>
        <v>16.78215</v>
      </c>
      <c r="T14" s="4">
        <f t="shared" si="9"/>
        <v>17.544975</v>
      </c>
      <c r="U14" s="2" t="s">
        <v>57</v>
      </c>
    </row>
    <row r="15">
      <c r="A15" s="2" t="s">
        <v>75</v>
      </c>
      <c r="B15" s="2" t="s">
        <v>76</v>
      </c>
      <c r="C15" s="2" t="s">
        <v>77</v>
      </c>
      <c r="D15" s="2" t="s">
        <v>41</v>
      </c>
      <c r="E15" s="2" t="s">
        <v>78</v>
      </c>
      <c r="F15" s="3">
        <v>6000.0</v>
      </c>
      <c r="G15" s="4">
        <v>86046.0</v>
      </c>
      <c r="H15" s="4">
        <v>90348.3</v>
      </c>
      <c r="I15" s="5">
        <f t="shared" si="2"/>
        <v>14.341</v>
      </c>
      <c r="J15" s="4">
        <v>0.0</v>
      </c>
      <c r="K15" s="4">
        <v>0.0</v>
      </c>
      <c r="L15" s="5">
        <f t="shared" si="3"/>
        <v>0</v>
      </c>
      <c r="M15" s="5">
        <f t="shared" ref="M15:N15" si="21">G15+J15</f>
        <v>86046</v>
      </c>
      <c r="N15" s="5">
        <f t="shared" si="21"/>
        <v>90348.3</v>
      </c>
      <c r="O15" s="6">
        <f t="shared" si="5"/>
        <v>14.341</v>
      </c>
      <c r="P15" s="5">
        <f t="shared" si="6"/>
        <v>15.05805</v>
      </c>
      <c r="Q15" s="4">
        <v>47.16</v>
      </c>
      <c r="R15" s="4">
        <f t="shared" si="7"/>
        <v>15.8109525</v>
      </c>
      <c r="S15" s="4">
        <f t="shared" si="8"/>
        <v>16.563855</v>
      </c>
      <c r="T15" s="4">
        <f t="shared" si="9"/>
        <v>17.3167575</v>
      </c>
      <c r="U15" s="2" t="s">
        <v>26</v>
      </c>
    </row>
    <row r="16">
      <c r="A16" s="2" t="s">
        <v>79</v>
      </c>
      <c r="B16" s="2" t="s">
        <v>80</v>
      </c>
      <c r="C16" s="2" t="s">
        <v>49</v>
      </c>
      <c r="D16" s="2" t="s">
        <v>41</v>
      </c>
      <c r="E16" s="2" t="s">
        <v>78</v>
      </c>
      <c r="F16" s="3">
        <v>3000.0</v>
      </c>
      <c r="G16" s="4">
        <v>80427.0</v>
      </c>
      <c r="H16" s="4">
        <v>84448.35</v>
      </c>
      <c r="I16" s="5">
        <f t="shared" si="2"/>
        <v>26.809</v>
      </c>
      <c r="J16" s="4">
        <v>0.0</v>
      </c>
      <c r="K16" s="4">
        <v>0.0</v>
      </c>
      <c r="L16" s="5">
        <f t="shared" si="3"/>
        <v>0</v>
      </c>
      <c r="M16" s="5">
        <f t="shared" ref="M16:N16" si="22">G16+J16</f>
        <v>80427</v>
      </c>
      <c r="N16" s="5">
        <f t="shared" si="22"/>
        <v>84448.35</v>
      </c>
      <c r="O16" s="6">
        <f t="shared" si="5"/>
        <v>26.809</v>
      </c>
      <c r="P16" s="5">
        <f t="shared" si="6"/>
        <v>28.14945</v>
      </c>
      <c r="Q16" s="4">
        <v>89.95</v>
      </c>
      <c r="R16" s="4">
        <f t="shared" si="7"/>
        <v>29.5569225</v>
      </c>
      <c r="S16" s="4">
        <f t="shared" si="8"/>
        <v>30.964395</v>
      </c>
      <c r="T16" s="4">
        <f t="shared" si="9"/>
        <v>32.3718675</v>
      </c>
      <c r="U16" s="2" t="s">
        <v>26</v>
      </c>
    </row>
    <row r="17">
      <c r="A17" s="2" t="s">
        <v>81</v>
      </c>
      <c r="B17" s="2" t="s">
        <v>82</v>
      </c>
      <c r="C17" s="2" t="s">
        <v>49</v>
      </c>
      <c r="D17" s="2" t="s">
        <v>83</v>
      </c>
      <c r="E17" s="2" t="s">
        <v>84</v>
      </c>
      <c r="F17" s="3">
        <v>15000.0</v>
      </c>
      <c r="G17" s="4">
        <v>146511.0</v>
      </c>
      <c r="H17" s="4">
        <v>153836.55</v>
      </c>
      <c r="I17" s="5">
        <f t="shared" si="2"/>
        <v>9.7674</v>
      </c>
      <c r="J17" s="4">
        <v>0.0</v>
      </c>
      <c r="K17" s="4">
        <v>0.0</v>
      </c>
      <c r="L17" s="5">
        <f t="shared" si="3"/>
        <v>0</v>
      </c>
      <c r="M17" s="5">
        <f t="shared" ref="M17:N17" si="23">G17+J17</f>
        <v>146511</v>
      </c>
      <c r="N17" s="5">
        <f t="shared" si="23"/>
        <v>153836.55</v>
      </c>
      <c r="O17" s="6">
        <f t="shared" si="5"/>
        <v>9.7674</v>
      </c>
      <c r="P17" s="5">
        <f t="shared" si="6"/>
        <v>10.25577</v>
      </c>
      <c r="Q17" s="4">
        <v>23.55</v>
      </c>
      <c r="R17" s="4">
        <f t="shared" si="7"/>
        <v>10.7685585</v>
      </c>
      <c r="S17" s="4">
        <f t="shared" si="8"/>
        <v>11.281347</v>
      </c>
      <c r="T17" s="4">
        <f t="shared" si="9"/>
        <v>11.7941355</v>
      </c>
      <c r="U17" s="2" t="s">
        <v>85</v>
      </c>
    </row>
    <row r="18">
      <c r="A18" s="2" t="s">
        <v>86</v>
      </c>
      <c r="B18" s="2" t="s">
        <v>87</v>
      </c>
      <c r="C18" s="2" t="s">
        <v>77</v>
      </c>
      <c r="D18" s="2" t="s">
        <v>44</v>
      </c>
      <c r="E18" s="2" t="s">
        <v>84</v>
      </c>
      <c r="F18" s="3">
        <v>18000.0</v>
      </c>
      <c r="G18" s="4">
        <v>284616.0</v>
      </c>
      <c r="H18" s="4">
        <v>298846.8</v>
      </c>
      <c r="I18" s="5">
        <f t="shared" si="2"/>
        <v>15.812</v>
      </c>
      <c r="J18" s="4">
        <v>-5601.6</v>
      </c>
      <c r="K18" s="4">
        <v>-5881.68</v>
      </c>
      <c r="L18" s="5">
        <f t="shared" si="3"/>
        <v>-0.3112</v>
      </c>
      <c r="M18" s="5">
        <f t="shared" ref="M18:N18" si="24">G18+J18</f>
        <v>279014.4</v>
      </c>
      <c r="N18" s="5">
        <f t="shared" si="24"/>
        <v>292965.12</v>
      </c>
      <c r="O18" s="6">
        <f t="shared" si="5"/>
        <v>15.5008</v>
      </c>
      <c r="P18" s="5">
        <f t="shared" si="6"/>
        <v>16.27584</v>
      </c>
      <c r="Q18" s="4">
        <v>45.59</v>
      </c>
      <c r="R18" s="4">
        <f t="shared" si="7"/>
        <v>17.089632</v>
      </c>
      <c r="S18" s="4">
        <f t="shared" si="8"/>
        <v>17.903424</v>
      </c>
      <c r="T18" s="4">
        <f t="shared" si="9"/>
        <v>18.717216</v>
      </c>
      <c r="U18" s="2" t="s">
        <v>51</v>
      </c>
    </row>
    <row r="19">
      <c r="A19" s="2" t="s">
        <v>88</v>
      </c>
      <c r="B19" s="2" t="s">
        <v>89</v>
      </c>
      <c r="C19" s="2" t="s">
        <v>49</v>
      </c>
      <c r="D19" s="2" t="s">
        <v>90</v>
      </c>
      <c r="E19" s="2" t="s">
        <v>91</v>
      </c>
      <c r="F19" s="3">
        <v>12120.0</v>
      </c>
      <c r="G19" s="4">
        <v>171510.12</v>
      </c>
      <c r="H19" s="4">
        <v>180085.63</v>
      </c>
      <c r="I19" s="5">
        <f t="shared" si="2"/>
        <v>14.151</v>
      </c>
      <c r="J19" s="4">
        <v>0.0</v>
      </c>
      <c r="K19" s="4">
        <v>0.0</v>
      </c>
      <c r="L19" s="5">
        <f t="shared" si="3"/>
        <v>0</v>
      </c>
      <c r="M19" s="5">
        <f t="shared" ref="M19:N19" si="25">G19+J19</f>
        <v>171510.12</v>
      </c>
      <c r="N19" s="5">
        <f t="shared" si="25"/>
        <v>180085.63</v>
      </c>
      <c r="O19" s="6">
        <f t="shared" si="5"/>
        <v>14.151</v>
      </c>
      <c r="P19" s="5">
        <f t="shared" si="6"/>
        <v>14.85855033</v>
      </c>
      <c r="Q19" s="4">
        <v>24.72</v>
      </c>
      <c r="R19" s="4">
        <f t="shared" si="7"/>
        <v>15.60147785</v>
      </c>
      <c r="S19" s="4">
        <f t="shared" si="8"/>
        <v>16.34440536</v>
      </c>
      <c r="T19" s="4">
        <f t="shared" si="9"/>
        <v>17.08733288</v>
      </c>
      <c r="U19" s="2" t="s">
        <v>92</v>
      </c>
    </row>
    <row r="20">
      <c r="A20" s="2" t="s">
        <v>88</v>
      </c>
      <c r="B20" s="2" t="s">
        <v>93</v>
      </c>
      <c r="C20" s="2" t="s">
        <v>49</v>
      </c>
      <c r="D20" s="2" t="s">
        <v>90</v>
      </c>
      <c r="E20" s="2" t="s">
        <v>91</v>
      </c>
      <c r="F20" s="3">
        <v>23880.0</v>
      </c>
      <c r="G20" s="4">
        <v>337925.88</v>
      </c>
      <c r="H20" s="4">
        <v>354822.17</v>
      </c>
      <c r="I20" s="5">
        <f t="shared" si="2"/>
        <v>14.151</v>
      </c>
      <c r="J20" s="4">
        <v>0.0</v>
      </c>
      <c r="K20" s="4">
        <v>0.0</v>
      </c>
      <c r="L20" s="5">
        <f t="shared" si="3"/>
        <v>0</v>
      </c>
      <c r="M20" s="5">
        <f t="shared" ref="M20:N20" si="26">G20+J20</f>
        <v>337925.88</v>
      </c>
      <c r="N20" s="5">
        <f t="shared" si="26"/>
        <v>354822.17</v>
      </c>
      <c r="O20" s="6">
        <f t="shared" si="5"/>
        <v>14.151</v>
      </c>
      <c r="P20" s="5">
        <f t="shared" si="6"/>
        <v>14.85854983</v>
      </c>
      <c r="Q20" s="4">
        <v>24.72</v>
      </c>
      <c r="R20" s="4">
        <f t="shared" si="7"/>
        <v>15.60147732</v>
      </c>
      <c r="S20" s="4">
        <f t="shared" si="8"/>
        <v>16.34440482</v>
      </c>
      <c r="T20" s="4">
        <f t="shared" si="9"/>
        <v>17.08733231</v>
      </c>
      <c r="U20" s="2" t="s">
        <v>92</v>
      </c>
    </row>
    <row r="21" ht="15.75" customHeight="1">
      <c r="A21" s="2" t="s">
        <v>94</v>
      </c>
      <c r="B21" s="2" t="s">
        <v>95</v>
      </c>
      <c r="C21" s="2" t="s">
        <v>23</v>
      </c>
      <c r="D21" s="2" t="s">
        <v>41</v>
      </c>
      <c r="E21" s="2" t="s">
        <v>91</v>
      </c>
      <c r="F21" s="3">
        <v>1800.0</v>
      </c>
      <c r="G21" s="4">
        <v>27372.6</v>
      </c>
      <c r="H21" s="4">
        <v>28741.23</v>
      </c>
      <c r="I21" s="5">
        <f t="shared" si="2"/>
        <v>15.207</v>
      </c>
      <c r="J21" s="4">
        <v>-912.24</v>
      </c>
      <c r="K21" s="4">
        <v>-957.85</v>
      </c>
      <c r="L21" s="5">
        <f t="shared" si="3"/>
        <v>-0.5068</v>
      </c>
      <c r="M21" s="5">
        <f t="shared" ref="M21:N21" si="27">G21+J21</f>
        <v>26460.36</v>
      </c>
      <c r="N21" s="5">
        <f t="shared" si="27"/>
        <v>27783.38</v>
      </c>
      <c r="O21" s="6">
        <f t="shared" si="5"/>
        <v>14.7002</v>
      </c>
      <c r="P21" s="5">
        <f t="shared" si="6"/>
        <v>15.43521111</v>
      </c>
      <c r="Q21" s="4">
        <v>126.38</v>
      </c>
      <c r="R21" s="4">
        <f t="shared" si="7"/>
        <v>16.20697167</v>
      </c>
      <c r="S21" s="4">
        <f t="shared" si="8"/>
        <v>16.97873222</v>
      </c>
      <c r="T21" s="4">
        <f t="shared" si="9"/>
        <v>17.75049278</v>
      </c>
      <c r="U21" s="2" t="s">
        <v>51</v>
      </c>
    </row>
    <row r="22" ht="15.75" customHeight="1">
      <c r="A22" s="2" t="s">
        <v>96</v>
      </c>
      <c r="B22" s="2" t="s">
        <v>97</v>
      </c>
      <c r="C22" s="2" t="s">
        <v>98</v>
      </c>
      <c r="D22" s="2" t="s">
        <v>44</v>
      </c>
      <c r="E22" s="2" t="s">
        <v>45</v>
      </c>
      <c r="F22" s="3">
        <v>49200.0</v>
      </c>
      <c r="G22" s="4">
        <v>61992.0</v>
      </c>
      <c r="H22" s="4">
        <v>65091.6</v>
      </c>
      <c r="I22" s="5">
        <f t="shared" si="2"/>
        <v>1.26</v>
      </c>
      <c r="J22" s="4">
        <v>-747.84</v>
      </c>
      <c r="K22" s="4">
        <v>-785.23</v>
      </c>
      <c r="L22" s="5">
        <f t="shared" si="3"/>
        <v>-0.0152</v>
      </c>
      <c r="M22" s="5">
        <f t="shared" ref="M22:N22" si="28">G22+J22</f>
        <v>61244.16</v>
      </c>
      <c r="N22" s="5">
        <f t="shared" si="28"/>
        <v>64306.37</v>
      </c>
      <c r="O22" s="6">
        <f t="shared" si="5"/>
        <v>1.2448</v>
      </c>
      <c r="P22" s="5">
        <f t="shared" si="6"/>
        <v>1.307040041</v>
      </c>
      <c r="Q22" s="4">
        <v>2.31</v>
      </c>
      <c r="R22" s="4">
        <f t="shared" si="7"/>
        <v>1.372392043</v>
      </c>
      <c r="S22" s="4">
        <f t="shared" si="8"/>
        <v>1.437744045</v>
      </c>
      <c r="T22" s="4">
        <f t="shared" si="9"/>
        <v>1.503096047</v>
      </c>
      <c r="U22" s="2" t="s">
        <v>51</v>
      </c>
    </row>
    <row r="23" ht="15.75" customHeight="1">
      <c r="A23" s="2" t="s">
        <v>99</v>
      </c>
      <c r="B23" s="2" t="s">
        <v>100</v>
      </c>
      <c r="C23" s="2" t="s">
        <v>101</v>
      </c>
      <c r="D23" s="2" t="s">
        <v>44</v>
      </c>
      <c r="E23" s="2" t="s">
        <v>45</v>
      </c>
      <c r="F23" s="3">
        <v>1596.0</v>
      </c>
      <c r="G23" s="4">
        <v>33514.4</v>
      </c>
      <c r="H23" s="4">
        <v>35190.12</v>
      </c>
      <c r="I23" s="5">
        <f t="shared" si="2"/>
        <v>20.99899749</v>
      </c>
      <c r="J23" s="4">
        <v>0.0</v>
      </c>
      <c r="K23" s="4">
        <v>0.0</v>
      </c>
      <c r="L23" s="5">
        <f t="shared" si="3"/>
        <v>0</v>
      </c>
      <c r="M23" s="5">
        <f t="shared" ref="M23:N23" si="29">G23+J23</f>
        <v>33514.4</v>
      </c>
      <c r="N23" s="5">
        <f t="shared" si="29"/>
        <v>35190.12</v>
      </c>
      <c r="O23" s="6">
        <f t="shared" si="5"/>
        <v>20.99899749</v>
      </c>
      <c r="P23" s="5">
        <f t="shared" si="6"/>
        <v>22.04894737</v>
      </c>
      <c r="Q23" s="4">
        <v>46.2</v>
      </c>
      <c r="R23" s="4">
        <f t="shared" si="7"/>
        <v>23.15139474</v>
      </c>
      <c r="S23" s="4">
        <f t="shared" si="8"/>
        <v>24.25384211</v>
      </c>
      <c r="T23" s="4">
        <f t="shared" si="9"/>
        <v>25.35628947</v>
      </c>
      <c r="U23" s="2" t="s">
        <v>92</v>
      </c>
    </row>
    <row r="24" ht="15.75" customHeight="1">
      <c r="A24" s="2" t="s">
        <v>99</v>
      </c>
      <c r="B24" s="2" t="s">
        <v>102</v>
      </c>
      <c r="C24" s="2" t="s">
        <v>101</v>
      </c>
      <c r="D24" s="2" t="s">
        <v>44</v>
      </c>
      <c r="E24" s="2" t="s">
        <v>45</v>
      </c>
      <c r="F24" s="3">
        <v>12804.0</v>
      </c>
      <c r="G24" s="4">
        <v>268871.2</v>
      </c>
      <c r="H24" s="4">
        <v>282314.76</v>
      </c>
      <c r="I24" s="5">
        <f t="shared" si="2"/>
        <v>20.99900031</v>
      </c>
      <c r="J24" s="4">
        <v>0.0</v>
      </c>
      <c r="K24" s="4">
        <v>0.0</v>
      </c>
      <c r="L24" s="5">
        <f t="shared" si="3"/>
        <v>0</v>
      </c>
      <c r="M24" s="5">
        <f t="shared" ref="M24:N24" si="30">G24+J24</f>
        <v>268871.2</v>
      </c>
      <c r="N24" s="5">
        <f t="shared" si="30"/>
        <v>282314.76</v>
      </c>
      <c r="O24" s="6">
        <f t="shared" si="5"/>
        <v>20.99900031</v>
      </c>
      <c r="P24" s="5">
        <f t="shared" si="6"/>
        <v>22.04895033</v>
      </c>
      <c r="Q24" s="4">
        <v>46.2</v>
      </c>
      <c r="R24" s="4">
        <f t="shared" si="7"/>
        <v>23.15139784</v>
      </c>
      <c r="S24" s="4">
        <f t="shared" si="8"/>
        <v>24.25384536</v>
      </c>
      <c r="T24" s="4">
        <f t="shared" si="9"/>
        <v>25.35629288</v>
      </c>
      <c r="U24" s="2" t="s">
        <v>92</v>
      </c>
    </row>
    <row r="25" ht="15.75" customHeight="1">
      <c r="A25" s="2" t="s">
        <v>103</v>
      </c>
      <c r="B25" s="2" t="s">
        <v>104</v>
      </c>
      <c r="C25" s="2" t="s">
        <v>105</v>
      </c>
      <c r="D25" s="2" t="s">
        <v>41</v>
      </c>
      <c r="E25" s="2" t="s">
        <v>91</v>
      </c>
      <c r="F25" s="3">
        <v>48000.0</v>
      </c>
      <c r="G25" s="4">
        <v>236976.0</v>
      </c>
      <c r="H25" s="4">
        <v>248824.8</v>
      </c>
      <c r="I25" s="5">
        <f t="shared" si="2"/>
        <v>4.937</v>
      </c>
      <c r="J25" s="4">
        <v>0.0</v>
      </c>
      <c r="K25" s="4">
        <v>0.0</v>
      </c>
      <c r="L25" s="5">
        <f t="shared" si="3"/>
        <v>0</v>
      </c>
      <c r="M25" s="5">
        <f t="shared" ref="M25:N25" si="31">G25+J25</f>
        <v>236976</v>
      </c>
      <c r="N25" s="5">
        <f t="shared" si="31"/>
        <v>248824.8</v>
      </c>
      <c r="O25" s="6">
        <f t="shared" si="5"/>
        <v>4.937</v>
      </c>
      <c r="P25" s="5">
        <f t="shared" si="6"/>
        <v>5.18385</v>
      </c>
      <c r="Q25" s="4">
        <v>10.94</v>
      </c>
      <c r="R25" s="4">
        <f t="shared" si="7"/>
        <v>5.4430425</v>
      </c>
      <c r="S25" s="4">
        <f t="shared" si="8"/>
        <v>5.702235</v>
      </c>
      <c r="T25" s="4">
        <f t="shared" si="9"/>
        <v>5.9614275</v>
      </c>
      <c r="U25" s="2" t="s">
        <v>106</v>
      </c>
    </row>
    <row r="26" ht="15.75" customHeight="1">
      <c r="A26" s="2" t="s">
        <v>107</v>
      </c>
      <c r="B26" s="2" t="s">
        <v>108</v>
      </c>
      <c r="C26" s="2" t="s">
        <v>109</v>
      </c>
      <c r="D26" s="2" t="s">
        <v>41</v>
      </c>
      <c r="E26" s="2" t="s">
        <v>91</v>
      </c>
      <c r="F26" s="3">
        <v>8976.0</v>
      </c>
      <c r="G26" s="4">
        <v>159015.23</v>
      </c>
      <c r="H26" s="4">
        <v>166965.99</v>
      </c>
      <c r="I26" s="5">
        <f t="shared" si="2"/>
        <v>17.71560049</v>
      </c>
      <c r="J26" s="4">
        <v>0.0</v>
      </c>
      <c r="K26" s="4">
        <v>0.0</v>
      </c>
      <c r="L26" s="5">
        <f t="shared" si="3"/>
        <v>0</v>
      </c>
      <c r="M26" s="5">
        <f t="shared" ref="M26:N26" si="32">G26+J26</f>
        <v>159015.23</v>
      </c>
      <c r="N26" s="5">
        <f t="shared" si="32"/>
        <v>166965.99</v>
      </c>
      <c r="O26" s="6">
        <f t="shared" si="5"/>
        <v>17.71560049</v>
      </c>
      <c r="P26" s="5">
        <f t="shared" si="6"/>
        <v>18.60138035</v>
      </c>
      <c r="Q26" s="4">
        <v>28.81</v>
      </c>
      <c r="R26" s="4">
        <f t="shared" si="7"/>
        <v>19.53144936</v>
      </c>
      <c r="S26" s="4">
        <f t="shared" si="8"/>
        <v>20.46151838</v>
      </c>
      <c r="T26" s="4">
        <f t="shared" si="9"/>
        <v>21.3915874</v>
      </c>
      <c r="U26" s="2" t="s">
        <v>110</v>
      </c>
    </row>
    <row r="27" ht="15.75" customHeight="1">
      <c r="A27" s="2" t="s">
        <v>107</v>
      </c>
      <c r="B27" s="2" t="s">
        <v>111</v>
      </c>
      <c r="C27" s="2" t="s">
        <v>109</v>
      </c>
      <c r="D27" s="2" t="s">
        <v>41</v>
      </c>
      <c r="E27" s="2" t="s">
        <v>91</v>
      </c>
      <c r="F27" s="3">
        <v>5424.0</v>
      </c>
      <c r="G27" s="4">
        <v>96089.41</v>
      </c>
      <c r="H27" s="4">
        <v>100893.88</v>
      </c>
      <c r="I27" s="5">
        <f t="shared" si="2"/>
        <v>17.71559919</v>
      </c>
      <c r="J27" s="4">
        <v>0.0</v>
      </c>
      <c r="K27" s="4">
        <v>0.0</v>
      </c>
      <c r="L27" s="5">
        <f t="shared" si="3"/>
        <v>0</v>
      </c>
      <c r="M27" s="5">
        <f t="shared" ref="M27:N27" si="33">G27+J27</f>
        <v>96089.41</v>
      </c>
      <c r="N27" s="5">
        <f t="shared" si="33"/>
        <v>100893.88</v>
      </c>
      <c r="O27" s="6">
        <f t="shared" si="5"/>
        <v>17.71559919</v>
      </c>
      <c r="P27" s="5">
        <f t="shared" si="6"/>
        <v>18.60137906</v>
      </c>
      <c r="Q27" s="4">
        <v>28.81</v>
      </c>
      <c r="R27" s="4">
        <f t="shared" si="7"/>
        <v>19.53144801</v>
      </c>
      <c r="S27" s="4">
        <f t="shared" si="8"/>
        <v>20.46151696</v>
      </c>
      <c r="T27" s="4">
        <f t="shared" si="9"/>
        <v>21.39158591</v>
      </c>
      <c r="U27" s="2" t="s">
        <v>110</v>
      </c>
    </row>
    <row r="28" ht="15.75" customHeight="1">
      <c r="A28" s="2" t="s">
        <v>112</v>
      </c>
      <c r="B28" s="2" t="s">
        <v>113</v>
      </c>
      <c r="C28" s="2" t="s">
        <v>114</v>
      </c>
      <c r="D28" s="2" t="s">
        <v>115</v>
      </c>
      <c r="E28" s="2" t="s">
        <v>116</v>
      </c>
      <c r="F28" s="3">
        <v>320.0</v>
      </c>
      <c r="G28" s="4">
        <v>13574.4</v>
      </c>
      <c r="H28" s="4">
        <v>14253.12</v>
      </c>
      <c r="I28" s="5">
        <f t="shared" si="2"/>
        <v>42.42</v>
      </c>
      <c r="J28" s="4">
        <v>0.0</v>
      </c>
      <c r="K28" s="4">
        <v>0.0</v>
      </c>
      <c r="L28" s="5">
        <f t="shared" si="3"/>
        <v>0</v>
      </c>
      <c r="M28" s="5">
        <f t="shared" ref="M28:N28" si="34">G28+J28</f>
        <v>13574.4</v>
      </c>
      <c r="N28" s="5">
        <f t="shared" si="34"/>
        <v>14253.12</v>
      </c>
      <c r="O28" s="6">
        <f t="shared" si="5"/>
        <v>42.42</v>
      </c>
      <c r="P28" s="5">
        <f t="shared" si="6"/>
        <v>44.541</v>
      </c>
      <c r="Q28" s="4">
        <v>165.7</v>
      </c>
      <c r="R28" s="4">
        <f t="shared" si="7"/>
        <v>46.76805</v>
      </c>
      <c r="S28" s="4">
        <f t="shared" si="8"/>
        <v>48.9951</v>
      </c>
      <c r="T28" s="4">
        <f t="shared" si="9"/>
        <v>51.22215</v>
      </c>
      <c r="U28" s="2" t="s">
        <v>117</v>
      </c>
    </row>
    <row r="29" ht="15.75" customHeight="1">
      <c r="A29" s="2" t="s">
        <v>118</v>
      </c>
      <c r="B29" s="2" t="s">
        <v>119</v>
      </c>
      <c r="C29" s="2" t="s">
        <v>49</v>
      </c>
      <c r="D29" s="2" t="s">
        <v>30</v>
      </c>
      <c r="E29" s="2" t="s">
        <v>25</v>
      </c>
      <c r="F29" s="3">
        <v>25280.0</v>
      </c>
      <c r="G29" s="4">
        <v>121270.69</v>
      </c>
      <c r="H29" s="4">
        <v>127334.22</v>
      </c>
      <c r="I29" s="5">
        <f t="shared" si="2"/>
        <v>4.797100079</v>
      </c>
      <c r="J29" s="4">
        <v>0.0</v>
      </c>
      <c r="K29" s="4">
        <v>0.0</v>
      </c>
      <c r="L29" s="5">
        <f t="shared" si="3"/>
        <v>0</v>
      </c>
      <c r="M29" s="5">
        <f t="shared" ref="M29:N29" si="35">G29+J29</f>
        <v>121270.69</v>
      </c>
      <c r="N29" s="5">
        <f t="shared" si="35"/>
        <v>127334.22</v>
      </c>
      <c r="O29" s="6">
        <f t="shared" si="5"/>
        <v>4.797100079</v>
      </c>
      <c r="P29" s="5">
        <f t="shared" si="6"/>
        <v>5.036954905</v>
      </c>
      <c r="Q29" s="4">
        <v>31.03</v>
      </c>
      <c r="R29" s="4">
        <f t="shared" si="7"/>
        <v>5.28880265</v>
      </c>
      <c r="S29" s="4">
        <f t="shared" si="8"/>
        <v>5.540650396</v>
      </c>
      <c r="T29" s="4">
        <f t="shared" si="9"/>
        <v>5.792498141</v>
      </c>
      <c r="U29" s="2" t="s">
        <v>85</v>
      </c>
    </row>
    <row r="30" ht="15.75" customHeight="1">
      <c r="A30" s="2" t="s">
        <v>118</v>
      </c>
      <c r="B30" s="2" t="s">
        <v>120</v>
      </c>
      <c r="C30" s="2" t="s">
        <v>49</v>
      </c>
      <c r="D30" s="2" t="s">
        <v>30</v>
      </c>
      <c r="E30" s="2" t="s">
        <v>25</v>
      </c>
      <c r="F30" s="3">
        <v>17920.0</v>
      </c>
      <c r="G30" s="4">
        <v>85964.03</v>
      </c>
      <c r="H30" s="4">
        <v>90262.23</v>
      </c>
      <c r="I30" s="5">
        <f t="shared" si="2"/>
        <v>4.797099888</v>
      </c>
      <c r="J30" s="4">
        <v>0.0</v>
      </c>
      <c r="K30" s="4">
        <v>0.0</v>
      </c>
      <c r="L30" s="5">
        <f t="shared" si="3"/>
        <v>0</v>
      </c>
      <c r="M30" s="5">
        <f t="shared" ref="M30:N30" si="36">G30+J30</f>
        <v>85964.03</v>
      </c>
      <c r="N30" s="5">
        <f t="shared" si="36"/>
        <v>90262.23</v>
      </c>
      <c r="O30" s="6">
        <f t="shared" si="5"/>
        <v>4.797099888</v>
      </c>
      <c r="P30" s="5">
        <f t="shared" si="6"/>
        <v>5.036954799</v>
      </c>
      <c r="Q30" s="4">
        <v>31.03</v>
      </c>
      <c r="R30" s="4">
        <f t="shared" si="7"/>
        <v>5.288802539</v>
      </c>
      <c r="S30" s="4">
        <f t="shared" si="8"/>
        <v>5.540650279</v>
      </c>
      <c r="T30" s="4">
        <f t="shared" si="9"/>
        <v>5.792498019</v>
      </c>
      <c r="U30" s="2" t="s">
        <v>85</v>
      </c>
    </row>
    <row r="31" ht="15.75" customHeight="1">
      <c r="A31" s="2" t="s">
        <v>121</v>
      </c>
      <c r="B31" s="2" t="s">
        <v>122</v>
      </c>
      <c r="C31" s="2" t="s">
        <v>123</v>
      </c>
      <c r="D31" s="2" t="s">
        <v>83</v>
      </c>
      <c r="E31" s="2" t="s">
        <v>124</v>
      </c>
      <c r="F31" s="3">
        <v>5184.0</v>
      </c>
      <c r="G31" s="4">
        <v>14256.0</v>
      </c>
      <c r="H31" s="4">
        <v>14968.8</v>
      </c>
      <c r="I31" s="5">
        <f t="shared" si="2"/>
        <v>2.75</v>
      </c>
      <c r="J31" s="4">
        <v>0.0</v>
      </c>
      <c r="K31" s="4">
        <v>0.0</v>
      </c>
      <c r="L31" s="5">
        <f t="shared" si="3"/>
        <v>0</v>
      </c>
      <c r="M31" s="5">
        <f t="shared" ref="M31:N31" si="37">G31+J31</f>
        <v>14256</v>
      </c>
      <c r="N31" s="5">
        <f t="shared" si="37"/>
        <v>14968.8</v>
      </c>
      <c r="O31" s="6">
        <f t="shared" si="5"/>
        <v>2.75</v>
      </c>
      <c r="P31" s="5">
        <f t="shared" si="6"/>
        <v>2.8875</v>
      </c>
      <c r="Q31" s="4">
        <v>12.89</v>
      </c>
      <c r="R31" s="4">
        <f t="shared" si="7"/>
        <v>3.031875</v>
      </c>
      <c r="S31" s="4">
        <f t="shared" si="8"/>
        <v>3.17625</v>
      </c>
      <c r="T31" s="4">
        <f t="shared" si="9"/>
        <v>3.320625</v>
      </c>
      <c r="U31" s="2" t="s">
        <v>57</v>
      </c>
    </row>
    <row r="32" ht="15.75" customHeight="1">
      <c r="A32" s="2" t="s">
        <v>125</v>
      </c>
      <c r="B32" s="2" t="s">
        <v>126</v>
      </c>
      <c r="C32" s="2" t="s">
        <v>64</v>
      </c>
      <c r="D32" s="2" t="s">
        <v>30</v>
      </c>
      <c r="E32" s="2" t="s">
        <v>127</v>
      </c>
      <c r="F32" s="3">
        <v>10800.0</v>
      </c>
      <c r="G32" s="4">
        <v>112336.2</v>
      </c>
      <c r="H32" s="4">
        <v>117953.01</v>
      </c>
      <c r="I32" s="5">
        <f t="shared" si="2"/>
        <v>10.4015</v>
      </c>
      <c r="J32" s="4">
        <v>0.0</v>
      </c>
      <c r="K32" s="4">
        <v>0.0</v>
      </c>
      <c r="L32" s="5">
        <f t="shared" si="3"/>
        <v>0</v>
      </c>
      <c r="M32" s="5">
        <f t="shared" ref="M32:N32" si="38">G32+J32</f>
        <v>112336.2</v>
      </c>
      <c r="N32" s="5">
        <f t="shared" si="38"/>
        <v>117953.01</v>
      </c>
      <c r="O32" s="6">
        <f t="shared" si="5"/>
        <v>10.4015</v>
      </c>
      <c r="P32" s="5">
        <f t="shared" si="6"/>
        <v>10.921575</v>
      </c>
      <c r="Q32" s="4">
        <v>192.09</v>
      </c>
      <c r="R32" s="4">
        <f t="shared" si="7"/>
        <v>11.46765375</v>
      </c>
      <c r="S32" s="4">
        <f t="shared" si="8"/>
        <v>12.0137325</v>
      </c>
      <c r="T32" s="4">
        <f t="shared" si="9"/>
        <v>12.55981125</v>
      </c>
      <c r="U32" s="2" t="s">
        <v>57</v>
      </c>
    </row>
    <row r="33" ht="15.75" customHeight="1">
      <c r="A33" s="2" t="s">
        <v>128</v>
      </c>
      <c r="B33" s="2" t="s">
        <v>129</v>
      </c>
      <c r="C33" s="2" t="s">
        <v>130</v>
      </c>
      <c r="D33" s="2" t="s">
        <v>36</v>
      </c>
      <c r="E33" s="2" t="s">
        <v>65</v>
      </c>
      <c r="F33" s="3">
        <v>12000.0</v>
      </c>
      <c r="G33" s="4">
        <v>156000.0</v>
      </c>
      <c r="H33" s="4">
        <v>163800.0</v>
      </c>
      <c r="I33" s="5">
        <f t="shared" si="2"/>
        <v>13</v>
      </c>
      <c r="J33" s="4">
        <v>0.0</v>
      </c>
      <c r="K33" s="4">
        <v>0.0</v>
      </c>
      <c r="L33" s="5">
        <f t="shared" si="3"/>
        <v>0</v>
      </c>
      <c r="M33" s="5">
        <f t="shared" ref="M33:N33" si="39">G33+J33</f>
        <v>156000</v>
      </c>
      <c r="N33" s="5">
        <f t="shared" si="39"/>
        <v>163800</v>
      </c>
      <c r="O33" s="6">
        <f t="shared" si="5"/>
        <v>13</v>
      </c>
      <c r="P33" s="5">
        <f t="shared" si="6"/>
        <v>13.65</v>
      </c>
      <c r="Q33" s="4">
        <v>16.23</v>
      </c>
      <c r="R33" s="4">
        <f t="shared" si="7"/>
        <v>14.3325</v>
      </c>
      <c r="S33" s="4">
        <f t="shared" si="8"/>
        <v>15.015</v>
      </c>
      <c r="T33" s="4">
        <f t="shared" si="9"/>
        <v>15.6975</v>
      </c>
      <c r="U33" s="2" t="s">
        <v>131</v>
      </c>
    </row>
    <row r="34" ht="15.75" customHeight="1">
      <c r="A34" s="2" t="s">
        <v>132</v>
      </c>
      <c r="B34" s="2" t="s">
        <v>133</v>
      </c>
      <c r="C34" s="2" t="s">
        <v>134</v>
      </c>
      <c r="D34" s="2" t="s">
        <v>41</v>
      </c>
      <c r="E34" s="2" t="s">
        <v>65</v>
      </c>
      <c r="F34" s="3">
        <v>14400.0</v>
      </c>
      <c r="G34" s="4">
        <v>279859.68</v>
      </c>
      <c r="H34" s="4">
        <v>293852.66</v>
      </c>
      <c r="I34" s="5">
        <f t="shared" si="2"/>
        <v>19.4347</v>
      </c>
      <c r="J34" s="4">
        <v>0.0</v>
      </c>
      <c r="K34" s="4">
        <v>0.0</v>
      </c>
      <c r="L34" s="5">
        <f t="shared" si="3"/>
        <v>0</v>
      </c>
      <c r="M34" s="5">
        <f t="shared" ref="M34:N34" si="40">G34+J34</f>
        <v>279859.68</v>
      </c>
      <c r="N34" s="5">
        <f t="shared" si="40"/>
        <v>293852.66</v>
      </c>
      <c r="O34" s="6">
        <f t="shared" si="5"/>
        <v>19.4347</v>
      </c>
      <c r="P34" s="5">
        <f t="shared" si="6"/>
        <v>20.40643472</v>
      </c>
      <c r="Q34" s="4">
        <v>33.12</v>
      </c>
      <c r="R34" s="4">
        <f t="shared" si="7"/>
        <v>21.42675646</v>
      </c>
      <c r="S34" s="4">
        <f t="shared" si="8"/>
        <v>22.44707819</v>
      </c>
      <c r="T34" s="4">
        <f t="shared" si="9"/>
        <v>23.46739993</v>
      </c>
      <c r="U34" s="2" t="s">
        <v>110</v>
      </c>
    </row>
    <row r="35" ht="15.75" customHeight="1">
      <c r="A35" s="2" t="s">
        <v>135</v>
      </c>
      <c r="B35" s="2" t="s">
        <v>136</v>
      </c>
      <c r="C35" s="2" t="s">
        <v>64</v>
      </c>
      <c r="D35" s="2" t="s">
        <v>30</v>
      </c>
      <c r="E35" s="2" t="s">
        <v>137</v>
      </c>
      <c r="F35" s="3">
        <v>4800.0</v>
      </c>
      <c r="G35" s="4">
        <v>144000.0</v>
      </c>
      <c r="H35" s="4">
        <v>151200.0</v>
      </c>
      <c r="I35" s="5">
        <f t="shared" si="2"/>
        <v>30</v>
      </c>
      <c r="J35" s="4">
        <v>0.0</v>
      </c>
      <c r="K35" s="4">
        <v>0.0</v>
      </c>
      <c r="L35" s="5">
        <f t="shared" si="3"/>
        <v>0</v>
      </c>
      <c r="M35" s="5">
        <f t="shared" ref="M35:N35" si="41">G35+J35</f>
        <v>144000</v>
      </c>
      <c r="N35" s="5">
        <f t="shared" si="41"/>
        <v>151200</v>
      </c>
      <c r="O35" s="6">
        <f t="shared" si="5"/>
        <v>30</v>
      </c>
      <c r="P35" s="5">
        <f t="shared" si="6"/>
        <v>31.5</v>
      </c>
      <c r="Q35" s="4">
        <v>161.47</v>
      </c>
      <c r="R35" s="4">
        <f t="shared" si="7"/>
        <v>33.075</v>
      </c>
      <c r="S35" s="4">
        <f t="shared" si="8"/>
        <v>34.65</v>
      </c>
      <c r="T35" s="4">
        <f t="shared" si="9"/>
        <v>36.225</v>
      </c>
      <c r="U35" s="2" t="s">
        <v>138</v>
      </c>
    </row>
    <row r="36" ht="15.75" customHeight="1">
      <c r="A36" s="2" t="s">
        <v>139</v>
      </c>
      <c r="B36" s="2" t="s">
        <v>140</v>
      </c>
      <c r="C36" s="2" t="s">
        <v>64</v>
      </c>
      <c r="D36" s="2" t="s">
        <v>41</v>
      </c>
      <c r="E36" s="2" t="s">
        <v>137</v>
      </c>
      <c r="F36" s="3">
        <v>720.0</v>
      </c>
      <c r="G36" s="4">
        <v>36000.0</v>
      </c>
      <c r="H36" s="4">
        <v>37800.0</v>
      </c>
      <c r="I36" s="5">
        <f t="shared" si="2"/>
        <v>50</v>
      </c>
      <c r="J36" s="4">
        <v>0.0</v>
      </c>
      <c r="K36" s="4">
        <v>0.0</v>
      </c>
      <c r="L36" s="5">
        <f t="shared" si="3"/>
        <v>0</v>
      </c>
      <c r="M36" s="5">
        <f t="shared" ref="M36:N36" si="42">G36+J36</f>
        <v>36000</v>
      </c>
      <c r="N36" s="5">
        <f t="shared" si="42"/>
        <v>37800</v>
      </c>
      <c r="O36" s="6">
        <f t="shared" si="5"/>
        <v>50</v>
      </c>
      <c r="P36" s="5">
        <f t="shared" si="6"/>
        <v>52.5</v>
      </c>
      <c r="Q36" s="4">
        <v>237.78</v>
      </c>
      <c r="R36" s="4">
        <f t="shared" si="7"/>
        <v>55.125</v>
      </c>
      <c r="S36" s="4">
        <f t="shared" si="8"/>
        <v>57.75</v>
      </c>
      <c r="T36" s="4">
        <f t="shared" si="9"/>
        <v>60.375</v>
      </c>
      <c r="U36" s="2" t="s">
        <v>57</v>
      </c>
    </row>
    <row r="37" ht="15.75" customHeight="1">
      <c r="A37" s="2" t="s">
        <v>139</v>
      </c>
      <c r="B37" s="2" t="s">
        <v>141</v>
      </c>
      <c r="C37" s="2" t="s">
        <v>64</v>
      </c>
      <c r="D37" s="2" t="s">
        <v>41</v>
      </c>
      <c r="E37" s="2" t="s">
        <v>137</v>
      </c>
      <c r="F37" s="3">
        <v>4080.0</v>
      </c>
      <c r="G37" s="4">
        <v>204000.0</v>
      </c>
      <c r="H37" s="4">
        <v>214200.0</v>
      </c>
      <c r="I37" s="5">
        <f t="shared" si="2"/>
        <v>50</v>
      </c>
      <c r="J37" s="4">
        <v>0.0</v>
      </c>
      <c r="K37" s="4">
        <v>0.0</v>
      </c>
      <c r="L37" s="5">
        <f t="shared" si="3"/>
        <v>0</v>
      </c>
      <c r="M37" s="5">
        <f t="shared" ref="M37:N37" si="43">G37+J37</f>
        <v>204000</v>
      </c>
      <c r="N37" s="5">
        <f t="shared" si="43"/>
        <v>214200</v>
      </c>
      <c r="O37" s="6">
        <f t="shared" si="5"/>
        <v>50</v>
      </c>
      <c r="P37" s="5">
        <f t="shared" si="6"/>
        <v>52.5</v>
      </c>
      <c r="Q37" s="4">
        <v>237.78</v>
      </c>
      <c r="R37" s="4">
        <f t="shared" si="7"/>
        <v>55.125</v>
      </c>
      <c r="S37" s="4">
        <f t="shared" si="8"/>
        <v>57.75</v>
      </c>
      <c r="T37" s="4">
        <f t="shared" si="9"/>
        <v>60.375</v>
      </c>
      <c r="U37" s="2" t="s">
        <v>57</v>
      </c>
    </row>
    <row r="38" ht="15.75" customHeight="1">
      <c r="A38" s="2" t="s">
        <v>142</v>
      </c>
      <c r="B38" s="2" t="s">
        <v>143</v>
      </c>
      <c r="C38" s="2" t="s">
        <v>144</v>
      </c>
      <c r="D38" s="2" t="s">
        <v>36</v>
      </c>
      <c r="E38" s="2" t="s">
        <v>45</v>
      </c>
      <c r="F38" s="3">
        <v>6000.0</v>
      </c>
      <c r="G38" s="4">
        <v>80666.4</v>
      </c>
      <c r="H38" s="4">
        <v>84699.72</v>
      </c>
      <c r="I38" s="5">
        <f t="shared" si="2"/>
        <v>13.4444</v>
      </c>
      <c r="J38" s="4">
        <v>-1166.4</v>
      </c>
      <c r="K38" s="4">
        <v>-1224.72</v>
      </c>
      <c r="L38" s="5">
        <f t="shared" si="3"/>
        <v>-0.1944</v>
      </c>
      <c r="M38" s="5">
        <f t="shared" ref="M38:N38" si="44">G38+J38</f>
        <v>79500</v>
      </c>
      <c r="N38" s="5">
        <f t="shared" si="44"/>
        <v>83475</v>
      </c>
      <c r="O38" s="6">
        <f t="shared" si="5"/>
        <v>13.25</v>
      </c>
      <c r="P38" s="5">
        <f t="shared" si="6"/>
        <v>13.9125</v>
      </c>
      <c r="Q38" s="4">
        <v>80.0</v>
      </c>
      <c r="R38" s="4">
        <f t="shared" si="7"/>
        <v>14.608125</v>
      </c>
      <c r="S38" s="4">
        <f t="shared" si="8"/>
        <v>15.30375</v>
      </c>
      <c r="T38" s="4">
        <f t="shared" si="9"/>
        <v>15.999375</v>
      </c>
      <c r="U38" s="2" t="s">
        <v>145</v>
      </c>
    </row>
    <row r="39" ht="15.75" customHeight="1">
      <c r="A39" s="2" t="s">
        <v>146</v>
      </c>
      <c r="B39" s="2" t="s">
        <v>147</v>
      </c>
      <c r="C39" s="2" t="s">
        <v>49</v>
      </c>
      <c r="D39" s="2" t="s">
        <v>41</v>
      </c>
      <c r="E39" s="2" t="s">
        <v>45</v>
      </c>
      <c r="F39" s="3">
        <v>27000.0</v>
      </c>
      <c r="G39" s="4">
        <v>128250.0</v>
      </c>
      <c r="H39" s="4">
        <v>134662.5</v>
      </c>
      <c r="I39" s="5">
        <f t="shared" si="2"/>
        <v>4.75</v>
      </c>
      <c r="J39" s="4">
        <v>0.0</v>
      </c>
      <c r="K39" s="4">
        <v>0.0</v>
      </c>
      <c r="L39" s="5">
        <f t="shared" si="3"/>
        <v>0</v>
      </c>
      <c r="M39" s="5">
        <f t="shared" ref="M39:N39" si="45">G39+J39</f>
        <v>128250</v>
      </c>
      <c r="N39" s="5">
        <f t="shared" si="45"/>
        <v>134662.5</v>
      </c>
      <c r="O39" s="6">
        <f t="shared" si="5"/>
        <v>4.75</v>
      </c>
      <c r="P39" s="5">
        <f t="shared" si="6"/>
        <v>4.9875</v>
      </c>
      <c r="Q39" s="4">
        <v>12.01</v>
      </c>
      <c r="R39" s="4">
        <f t="shared" si="7"/>
        <v>5.236875</v>
      </c>
      <c r="S39" s="4">
        <f t="shared" si="8"/>
        <v>5.48625</v>
      </c>
      <c r="T39" s="4">
        <f t="shared" si="9"/>
        <v>5.735625</v>
      </c>
      <c r="U39" s="2" t="s">
        <v>148</v>
      </c>
    </row>
    <row r="40" ht="15.75" customHeight="1">
      <c r="A40" s="2" t="s">
        <v>149</v>
      </c>
      <c r="B40" s="2" t="s">
        <v>150</v>
      </c>
      <c r="C40" s="2" t="s">
        <v>151</v>
      </c>
      <c r="D40" s="2" t="s">
        <v>41</v>
      </c>
      <c r="E40" s="2" t="s">
        <v>45</v>
      </c>
      <c r="F40" s="3">
        <v>320.0</v>
      </c>
      <c r="G40" s="4">
        <v>5708.26</v>
      </c>
      <c r="H40" s="4">
        <v>5993.67</v>
      </c>
      <c r="I40" s="5">
        <f t="shared" si="2"/>
        <v>17.8383125</v>
      </c>
      <c r="J40" s="4">
        <v>-272.35</v>
      </c>
      <c r="K40" s="4">
        <v>-285.97</v>
      </c>
      <c r="L40" s="5">
        <f t="shared" si="3"/>
        <v>-0.85109375</v>
      </c>
      <c r="M40" s="5">
        <f t="shared" ref="M40:N40" si="46">G40+J40</f>
        <v>5435.91</v>
      </c>
      <c r="N40" s="5">
        <f t="shared" si="46"/>
        <v>5707.7</v>
      </c>
      <c r="O40" s="6">
        <f t="shared" si="5"/>
        <v>16.98721875</v>
      </c>
      <c r="P40" s="5">
        <f t="shared" si="6"/>
        <v>17.8365625</v>
      </c>
      <c r="Q40" s="4">
        <v>113.58</v>
      </c>
      <c r="R40" s="4">
        <f t="shared" si="7"/>
        <v>18.72839063</v>
      </c>
      <c r="S40" s="4">
        <f t="shared" si="8"/>
        <v>19.62021875</v>
      </c>
      <c r="T40" s="4">
        <f t="shared" si="9"/>
        <v>20.51204688</v>
      </c>
      <c r="U40" s="2" t="s">
        <v>152</v>
      </c>
    </row>
    <row r="41" ht="15.75" customHeight="1">
      <c r="A41" s="2" t="s">
        <v>153</v>
      </c>
      <c r="B41" s="2" t="s">
        <v>154</v>
      </c>
      <c r="C41" s="2" t="s">
        <v>151</v>
      </c>
      <c r="D41" s="2" t="s">
        <v>41</v>
      </c>
      <c r="E41" s="2" t="s">
        <v>45</v>
      </c>
      <c r="F41" s="3">
        <v>450.0</v>
      </c>
      <c r="G41" s="4">
        <v>8915.85</v>
      </c>
      <c r="H41" s="4">
        <v>9361.64</v>
      </c>
      <c r="I41" s="5">
        <f t="shared" si="2"/>
        <v>19.813</v>
      </c>
      <c r="J41" s="4">
        <v>-425.07</v>
      </c>
      <c r="K41" s="4">
        <v>-446.32</v>
      </c>
      <c r="L41" s="5">
        <f t="shared" si="3"/>
        <v>-0.9446</v>
      </c>
      <c r="M41" s="5">
        <f t="shared" ref="M41:N41" si="47">G41+J41</f>
        <v>8490.78</v>
      </c>
      <c r="N41" s="5">
        <f t="shared" si="47"/>
        <v>8915.32</v>
      </c>
      <c r="O41" s="6">
        <f t="shared" si="5"/>
        <v>18.8684</v>
      </c>
      <c r="P41" s="5">
        <f t="shared" si="6"/>
        <v>19.81182222</v>
      </c>
      <c r="Q41" s="4">
        <v>143.86</v>
      </c>
      <c r="R41" s="4">
        <f t="shared" si="7"/>
        <v>20.80241333</v>
      </c>
      <c r="S41" s="4">
        <f t="shared" si="8"/>
        <v>21.79300444</v>
      </c>
      <c r="T41" s="4">
        <f t="shared" si="9"/>
        <v>22.78359556</v>
      </c>
      <c r="U41" s="2" t="s">
        <v>152</v>
      </c>
    </row>
    <row r="42" ht="15.75" customHeight="1">
      <c r="A42" s="2" t="s">
        <v>155</v>
      </c>
      <c r="B42" s="2" t="s">
        <v>156</v>
      </c>
      <c r="C42" s="2" t="s">
        <v>77</v>
      </c>
      <c r="D42" s="2" t="s">
        <v>30</v>
      </c>
      <c r="E42" s="2" t="s">
        <v>157</v>
      </c>
      <c r="F42" s="3">
        <v>4800.0</v>
      </c>
      <c r="G42" s="4">
        <v>57300.0</v>
      </c>
      <c r="H42" s="4">
        <v>60165.0</v>
      </c>
      <c r="I42" s="5">
        <f t="shared" si="2"/>
        <v>11.9375</v>
      </c>
      <c r="J42" s="4">
        <v>0.0</v>
      </c>
      <c r="K42" s="4">
        <v>0.0</v>
      </c>
      <c r="L42" s="5">
        <f t="shared" si="3"/>
        <v>0</v>
      </c>
      <c r="M42" s="5">
        <f t="shared" ref="M42:N42" si="48">G42+J42</f>
        <v>57300</v>
      </c>
      <c r="N42" s="5">
        <f t="shared" si="48"/>
        <v>60165</v>
      </c>
      <c r="O42" s="6">
        <f t="shared" si="5"/>
        <v>11.9375</v>
      </c>
      <c r="P42" s="5">
        <f t="shared" si="6"/>
        <v>12.534375</v>
      </c>
      <c r="Q42" s="4">
        <v>68.77</v>
      </c>
      <c r="R42" s="4">
        <f t="shared" si="7"/>
        <v>13.16109375</v>
      </c>
      <c r="S42" s="4">
        <f t="shared" si="8"/>
        <v>13.7878125</v>
      </c>
      <c r="T42" s="4">
        <f t="shared" si="9"/>
        <v>14.41453125</v>
      </c>
      <c r="U42" s="2" t="s">
        <v>85</v>
      </c>
    </row>
    <row r="43" ht="15.75" customHeight="1">
      <c r="A43" s="2" t="s">
        <v>158</v>
      </c>
      <c r="B43" s="2" t="s">
        <v>159</v>
      </c>
      <c r="C43" s="2" t="s">
        <v>160</v>
      </c>
      <c r="D43" s="2" t="s">
        <v>161</v>
      </c>
      <c r="E43" s="2" t="s">
        <v>162</v>
      </c>
      <c r="F43" s="3">
        <v>7060.0</v>
      </c>
      <c r="G43" s="4">
        <v>223713.75</v>
      </c>
      <c r="H43" s="4">
        <v>234899.44</v>
      </c>
      <c r="I43" s="5">
        <f t="shared" si="2"/>
        <v>31.6875</v>
      </c>
      <c r="J43" s="4">
        <v>-282.09</v>
      </c>
      <c r="K43" s="4">
        <v>-296.19</v>
      </c>
      <c r="L43" s="5">
        <f t="shared" si="3"/>
        <v>-0.03995609065</v>
      </c>
      <c r="M43" s="5">
        <f t="shared" ref="M43:N43" si="49">G43+J43</f>
        <v>223431.66</v>
      </c>
      <c r="N43" s="5">
        <f t="shared" si="49"/>
        <v>234603.25</v>
      </c>
      <c r="O43" s="6">
        <f t="shared" si="5"/>
        <v>31.64754391</v>
      </c>
      <c r="P43" s="5">
        <f t="shared" si="6"/>
        <v>33.2299221</v>
      </c>
      <c r="Q43" s="4">
        <v>117.24</v>
      </c>
      <c r="R43" s="4">
        <f t="shared" si="7"/>
        <v>34.8914182</v>
      </c>
      <c r="S43" s="4">
        <f t="shared" si="8"/>
        <v>36.55291431</v>
      </c>
      <c r="T43" s="4">
        <f t="shared" si="9"/>
        <v>38.21441041</v>
      </c>
      <c r="U43" s="2" t="s">
        <v>66</v>
      </c>
    </row>
    <row r="44" ht="15.75" customHeight="1">
      <c r="A44" s="2" t="s">
        <v>158</v>
      </c>
      <c r="B44" s="2" t="s">
        <v>163</v>
      </c>
      <c r="C44" s="2" t="s">
        <v>160</v>
      </c>
      <c r="D44" s="2" t="s">
        <v>161</v>
      </c>
      <c r="E44" s="2" t="s">
        <v>162</v>
      </c>
      <c r="F44" s="3">
        <v>940.0</v>
      </c>
      <c r="G44" s="4">
        <v>29787.57</v>
      </c>
      <c r="H44" s="4">
        <v>31276.95</v>
      </c>
      <c r="I44" s="5">
        <f t="shared" si="2"/>
        <v>31.68890426</v>
      </c>
      <c r="J44" s="4">
        <v>-2118.71</v>
      </c>
      <c r="K44" s="4">
        <v>-2224.65</v>
      </c>
      <c r="L44" s="5">
        <f t="shared" si="3"/>
        <v>-2.253946809</v>
      </c>
      <c r="M44" s="5">
        <f t="shared" ref="M44:N44" si="50">G44+J44</f>
        <v>27668.86</v>
      </c>
      <c r="N44" s="5">
        <f t="shared" si="50"/>
        <v>29052.3</v>
      </c>
      <c r="O44" s="6">
        <f t="shared" si="5"/>
        <v>29.43495745</v>
      </c>
      <c r="P44" s="5">
        <f t="shared" si="6"/>
        <v>30.90670213</v>
      </c>
      <c r="Q44" s="4">
        <v>117.24</v>
      </c>
      <c r="R44" s="4">
        <f t="shared" si="7"/>
        <v>32.45203723</v>
      </c>
      <c r="S44" s="4">
        <f t="shared" si="8"/>
        <v>33.99737234</v>
      </c>
      <c r="T44" s="4">
        <f t="shared" si="9"/>
        <v>35.54270745</v>
      </c>
      <c r="U44" s="2" t="s">
        <v>66</v>
      </c>
    </row>
    <row r="45" ht="15.75" customHeight="1">
      <c r="A45" s="2" t="s">
        <v>164</v>
      </c>
      <c r="B45" s="2" t="s">
        <v>165</v>
      </c>
      <c r="C45" s="2" t="s">
        <v>77</v>
      </c>
      <c r="D45" s="2" t="s">
        <v>36</v>
      </c>
      <c r="E45" s="2" t="s">
        <v>45</v>
      </c>
      <c r="F45" s="3">
        <v>9000.0</v>
      </c>
      <c r="G45" s="4">
        <v>60744.6</v>
      </c>
      <c r="H45" s="4">
        <v>63781.83</v>
      </c>
      <c r="I45" s="5">
        <f t="shared" si="2"/>
        <v>6.7494</v>
      </c>
      <c r="J45" s="4">
        <v>-2518.2</v>
      </c>
      <c r="K45" s="4">
        <v>-2644.11</v>
      </c>
      <c r="L45" s="5">
        <f t="shared" si="3"/>
        <v>-0.2798</v>
      </c>
      <c r="M45" s="5">
        <f t="shared" ref="M45:N45" si="51">G45+J45</f>
        <v>58226.4</v>
      </c>
      <c r="N45" s="5">
        <f t="shared" si="51"/>
        <v>61137.72</v>
      </c>
      <c r="O45" s="6">
        <f t="shared" si="5"/>
        <v>6.4696</v>
      </c>
      <c r="P45" s="5">
        <f t="shared" si="6"/>
        <v>6.79308</v>
      </c>
      <c r="Q45" s="4">
        <v>44.86</v>
      </c>
      <c r="R45" s="4">
        <f t="shared" si="7"/>
        <v>7.132734</v>
      </c>
      <c r="S45" s="4">
        <f t="shared" si="8"/>
        <v>7.472388</v>
      </c>
      <c r="T45" s="4">
        <f t="shared" si="9"/>
        <v>7.812042</v>
      </c>
      <c r="U45" s="2" t="s">
        <v>66</v>
      </c>
    </row>
    <row r="46" ht="15.75" customHeight="1">
      <c r="A46" s="2" t="s">
        <v>166</v>
      </c>
      <c r="B46" s="2" t="s">
        <v>167</v>
      </c>
      <c r="C46" s="2" t="s">
        <v>168</v>
      </c>
      <c r="D46" s="2" t="s">
        <v>36</v>
      </c>
      <c r="E46" s="2" t="s">
        <v>169</v>
      </c>
      <c r="F46" s="3">
        <v>8000.0</v>
      </c>
      <c r="G46" s="4">
        <v>74544.0</v>
      </c>
      <c r="H46" s="4">
        <v>78271.2</v>
      </c>
      <c r="I46" s="5">
        <f t="shared" si="2"/>
        <v>9.318</v>
      </c>
      <c r="J46" s="4">
        <v>0.0</v>
      </c>
      <c r="K46" s="4">
        <v>0.0</v>
      </c>
      <c r="L46" s="5">
        <f t="shared" si="3"/>
        <v>0</v>
      </c>
      <c r="M46" s="5">
        <f t="shared" ref="M46:N46" si="52">G46+J46</f>
        <v>74544</v>
      </c>
      <c r="N46" s="5">
        <f t="shared" si="52"/>
        <v>78271.2</v>
      </c>
      <c r="O46" s="6">
        <f t="shared" si="5"/>
        <v>9.318</v>
      </c>
      <c r="P46" s="5">
        <f t="shared" si="6"/>
        <v>9.7839</v>
      </c>
      <c r="Q46" s="4">
        <v>46.28</v>
      </c>
      <c r="R46" s="4">
        <f t="shared" si="7"/>
        <v>10.273095</v>
      </c>
      <c r="S46" s="4">
        <f t="shared" si="8"/>
        <v>10.76229</v>
      </c>
      <c r="T46" s="4">
        <f t="shared" si="9"/>
        <v>11.251485</v>
      </c>
      <c r="U46" s="2" t="s">
        <v>38</v>
      </c>
    </row>
    <row r="47" ht="15.75" customHeight="1">
      <c r="A47" s="2" t="s">
        <v>170</v>
      </c>
      <c r="B47" s="2" t="s">
        <v>171</v>
      </c>
      <c r="C47" s="2" t="s">
        <v>168</v>
      </c>
      <c r="D47" s="2" t="s">
        <v>36</v>
      </c>
      <c r="E47" s="2" t="s">
        <v>169</v>
      </c>
      <c r="F47" s="3">
        <v>7200.0</v>
      </c>
      <c r="G47" s="4">
        <v>85921.92</v>
      </c>
      <c r="H47" s="4">
        <v>90218.02</v>
      </c>
      <c r="I47" s="5">
        <f t="shared" si="2"/>
        <v>11.9336</v>
      </c>
      <c r="J47" s="4">
        <v>0.0</v>
      </c>
      <c r="K47" s="4">
        <v>0.0</v>
      </c>
      <c r="L47" s="5">
        <f t="shared" si="3"/>
        <v>0</v>
      </c>
      <c r="M47" s="5">
        <f t="shared" ref="M47:N47" si="53">G47+J47</f>
        <v>85921.92</v>
      </c>
      <c r="N47" s="5">
        <f t="shared" si="53"/>
        <v>90218.02</v>
      </c>
      <c r="O47" s="6">
        <f t="shared" si="5"/>
        <v>11.9336</v>
      </c>
      <c r="P47" s="5">
        <f t="shared" si="6"/>
        <v>12.53028056</v>
      </c>
      <c r="Q47" s="4">
        <v>131.48</v>
      </c>
      <c r="R47" s="4">
        <f t="shared" si="7"/>
        <v>13.15679458</v>
      </c>
      <c r="S47" s="4">
        <f t="shared" si="8"/>
        <v>13.78330861</v>
      </c>
      <c r="T47" s="4">
        <f t="shared" si="9"/>
        <v>14.40982264</v>
      </c>
      <c r="U47" s="2" t="s">
        <v>85</v>
      </c>
    </row>
    <row r="48" ht="15.75" customHeight="1">
      <c r="A48" s="2" t="s">
        <v>172</v>
      </c>
      <c r="B48" s="2" t="s">
        <v>173</v>
      </c>
      <c r="C48" s="2" t="s">
        <v>174</v>
      </c>
      <c r="D48" s="2" t="s">
        <v>175</v>
      </c>
      <c r="E48" s="2" t="s">
        <v>45</v>
      </c>
      <c r="F48" s="3">
        <v>3600.0</v>
      </c>
      <c r="G48" s="4">
        <v>27792.0</v>
      </c>
      <c r="H48" s="4">
        <v>29181.6</v>
      </c>
      <c r="I48" s="5">
        <f t="shared" si="2"/>
        <v>7.72</v>
      </c>
      <c r="J48" s="4">
        <v>0.0</v>
      </c>
      <c r="K48" s="4">
        <v>0.0</v>
      </c>
      <c r="L48" s="5">
        <f t="shared" si="3"/>
        <v>0</v>
      </c>
      <c r="M48" s="5">
        <f t="shared" ref="M48:N48" si="54">G48+J48</f>
        <v>27792</v>
      </c>
      <c r="N48" s="5">
        <f t="shared" si="54"/>
        <v>29181.6</v>
      </c>
      <c r="O48" s="6">
        <f t="shared" si="5"/>
        <v>7.72</v>
      </c>
      <c r="P48" s="5">
        <f t="shared" si="6"/>
        <v>8.106</v>
      </c>
      <c r="Q48" s="4">
        <v>92.95</v>
      </c>
      <c r="R48" s="4">
        <f t="shared" si="7"/>
        <v>8.5113</v>
      </c>
      <c r="S48" s="4">
        <f t="shared" si="8"/>
        <v>8.9166</v>
      </c>
      <c r="T48" s="4">
        <f t="shared" si="9"/>
        <v>9.3219</v>
      </c>
      <c r="U48" s="2" t="s">
        <v>38</v>
      </c>
    </row>
    <row r="49" ht="15.75" customHeight="1">
      <c r="A49" s="2" t="s">
        <v>176</v>
      </c>
      <c r="B49" s="2" t="s">
        <v>177</v>
      </c>
      <c r="C49" s="2" t="s">
        <v>178</v>
      </c>
      <c r="D49" s="2" t="s">
        <v>36</v>
      </c>
      <c r="E49" s="2" t="s">
        <v>179</v>
      </c>
      <c r="F49" s="3">
        <v>2400.0</v>
      </c>
      <c r="G49" s="4">
        <v>15000.0</v>
      </c>
      <c r="H49" s="4">
        <v>15750.0</v>
      </c>
      <c r="I49" s="5">
        <f t="shared" si="2"/>
        <v>6.25</v>
      </c>
      <c r="J49" s="4">
        <v>0.0</v>
      </c>
      <c r="K49" s="4">
        <v>0.0</v>
      </c>
      <c r="L49" s="5">
        <f t="shared" si="3"/>
        <v>0</v>
      </c>
      <c r="M49" s="5">
        <f t="shared" ref="M49:N49" si="55">G49+J49</f>
        <v>15000</v>
      </c>
      <c r="N49" s="5">
        <f t="shared" si="55"/>
        <v>15750</v>
      </c>
      <c r="O49" s="6">
        <f t="shared" si="5"/>
        <v>6.25</v>
      </c>
      <c r="P49" s="5">
        <f t="shared" si="6"/>
        <v>6.5625</v>
      </c>
      <c r="Q49" s="4">
        <v>52.3</v>
      </c>
      <c r="R49" s="4">
        <f t="shared" si="7"/>
        <v>6.890625</v>
      </c>
      <c r="S49" s="4">
        <f t="shared" si="8"/>
        <v>7.21875</v>
      </c>
      <c r="T49" s="4">
        <f t="shared" si="9"/>
        <v>7.546875</v>
      </c>
      <c r="U49" s="2" t="s">
        <v>26</v>
      </c>
    </row>
    <row r="50" ht="15.75" customHeight="1">
      <c r="A50" s="2" t="s">
        <v>180</v>
      </c>
      <c r="B50" s="2" t="s">
        <v>181</v>
      </c>
      <c r="C50" s="2" t="s">
        <v>23</v>
      </c>
      <c r="D50" s="2" t="s">
        <v>30</v>
      </c>
      <c r="E50" s="2" t="s">
        <v>182</v>
      </c>
      <c r="F50" s="3">
        <v>21000.0</v>
      </c>
      <c r="G50" s="4">
        <v>84000.0</v>
      </c>
      <c r="H50" s="4">
        <v>88200.0</v>
      </c>
      <c r="I50" s="5">
        <f t="shared" si="2"/>
        <v>4</v>
      </c>
      <c r="J50" s="4">
        <v>0.0</v>
      </c>
      <c r="K50" s="4">
        <v>0.0</v>
      </c>
      <c r="L50" s="5">
        <f t="shared" si="3"/>
        <v>0</v>
      </c>
      <c r="M50" s="5">
        <f t="shared" ref="M50:N50" si="56">G50+J50</f>
        <v>84000</v>
      </c>
      <c r="N50" s="5">
        <f t="shared" si="56"/>
        <v>88200</v>
      </c>
      <c r="O50" s="6">
        <f t="shared" si="5"/>
        <v>4</v>
      </c>
      <c r="P50" s="5">
        <f t="shared" si="6"/>
        <v>4.2</v>
      </c>
      <c r="Q50" s="4">
        <v>55.16</v>
      </c>
      <c r="R50" s="4">
        <f t="shared" si="7"/>
        <v>4.41</v>
      </c>
      <c r="S50" s="4">
        <f t="shared" si="8"/>
        <v>4.62</v>
      </c>
      <c r="T50" s="4">
        <f t="shared" si="9"/>
        <v>4.83</v>
      </c>
      <c r="U50" s="2" t="s">
        <v>26</v>
      </c>
    </row>
    <row r="51" ht="15.75" customHeight="1">
      <c r="A51" s="2" t="s">
        <v>183</v>
      </c>
      <c r="B51" s="2" t="s">
        <v>184</v>
      </c>
      <c r="C51" s="2" t="s">
        <v>23</v>
      </c>
      <c r="D51" s="2" t="s">
        <v>41</v>
      </c>
      <c r="E51" s="2" t="s">
        <v>185</v>
      </c>
      <c r="F51" s="3">
        <v>2400.0</v>
      </c>
      <c r="G51" s="4">
        <v>73999.92</v>
      </c>
      <c r="H51" s="4">
        <v>77699.92</v>
      </c>
      <c r="I51" s="5">
        <f t="shared" si="2"/>
        <v>30.8333</v>
      </c>
      <c r="J51" s="4">
        <v>-61404.48</v>
      </c>
      <c r="K51" s="4">
        <v>-64474.7</v>
      </c>
      <c r="L51" s="5">
        <f t="shared" si="3"/>
        <v>-25.5852</v>
      </c>
      <c r="M51" s="5">
        <f t="shared" ref="M51:N51" si="57">G51+J51</f>
        <v>12595.44</v>
      </c>
      <c r="N51" s="5">
        <f t="shared" si="57"/>
        <v>13225.22</v>
      </c>
      <c r="O51" s="6">
        <f t="shared" si="5"/>
        <v>5.2481</v>
      </c>
      <c r="P51" s="5">
        <f t="shared" si="6"/>
        <v>5.510508333</v>
      </c>
      <c r="Q51" s="4">
        <v>104.38</v>
      </c>
      <c r="R51" s="4">
        <f t="shared" si="7"/>
        <v>5.78603375</v>
      </c>
      <c r="S51" s="4">
        <f t="shared" si="8"/>
        <v>6.061559167</v>
      </c>
      <c r="T51" s="4">
        <f t="shared" si="9"/>
        <v>6.337084583</v>
      </c>
      <c r="U51" s="2" t="s">
        <v>46</v>
      </c>
    </row>
    <row r="52" ht="15.75" customHeight="1">
      <c r="A52" s="2" t="s">
        <v>186</v>
      </c>
      <c r="B52" s="2" t="s">
        <v>187</v>
      </c>
      <c r="C52" s="2" t="s">
        <v>188</v>
      </c>
      <c r="D52" s="2" t="s">
        <v>161</v>
      </c>
      <c r="E52" s="2" t="s">
        <v>185</v>
      </c>
      <c r="F52" s="3">
        <v>2700.0</v>
      </c>
      <c r="G52" s="4">
        <v>121612.32</v>
      </c>
      <c r="H52" s="4">
        <v>127692.94</v>
      </c>
      <c r="I52" s="5">
        <f t="shared" si="2"/>
        <v>45.0416</v>
      </c>
      <c r="J52" s="4">
        <v>-5469.39</v>
      </c>
      <c r="K52" s="4">
        <v>-5742.86</v>
      </c>
      <c r="L52" s="5">
        <f t="shared" si="3"/>
        <v>-2.0257</v>
      </c>
      <c r="M52" s="5">
        <f t="shared" ref="M52:N52" si="58">G52+J52</f>
        <v>116142.93</v>
      </c>
      <c r="N52" s="5">
        <f t="shared" si="58"/>
        <v>121950.08</v>
      </c>
      <c r="O52" s="6">
        <f t="shared" si="5"/>
        <v>43.0159</v>
      </c>
      <c r="P52" s="5">
        <f t="shared" si="6"/>
        <v>45.1666963</v>
      </c>
      <c r="Q52" s="4">
        <v>177.89</v>
      </c>
      <c r="R52" s="4">
        <f t="shared" si="7"/>
        <v>47.42503111</v>
      </c>
      <c r="S52" s="4">
        <f t="shared" si="8"/>
        <v>49.68336593</v>
      </c>
      <c r="T52" s="4">
        <f t="shared" si="9"/>
        <v>51.94170074</v>
      </c>
      <c r="U52" s="2" t="s">
        <v>66</v>
      </c>
    </row>
    <row r="53" ht="15.75" customHeight="1">
      <c r="A53" s="2" t="s">
        <v>189</v>
      </c>
      <c r="B53" s="2" t="s">
        <v>190</v>
      </c>
      <c r="C53" s="2" t="s">
        <v>191</v>
      </c>
      <c r="D53" s="2" t="s">
        <v>44</v>
      </c>
      <c r="E53" s="2" t="s">
        <v>45</v>
      </c>
      <c r="F53" s="3">
        <v>2000.0</v>
      </c>
      <c r="G53" s="4">
        <v>23475.0</v>
      </c>
      <c r="H53" s="4">
        <v>24648.75</v>
      </c>
      <c r="I53" s="5">
        <f t="shared" si="2"/>
        <v>11.7375</v>
      </c>
      <c r="J53" s="4">
        <v>-1116.8</v>
      </c>
      <c r="K53" s="4">
        <v>-1172.64</v>
      </c>
      <c r="L53" s="5">
        <f t="shared" si="3"/>
        <v>-0.5584</v>
      </c>
      <c r="M53" s="5">
        <f t="shared" ref="M53:N53" si="59">G53+J53</f>
        <v>22358.2</v>
      </c>
      <c r="N53" s="5">
        <f t="shared" si="59"/>
        <v>23476.11</v>
      </c>
      <c r="O53" s="6">
        <f t="shared" si="5"/>
        <v>11.1791</v>
      </c>
      <c r="P53" s="5">
        <f t="shared" si="6"/>
        <v>11.738055</v>
      </c>
      <c r="Q53" s="4">
        <v>143.63</v>
      </c>
      <c r="R53" s="4">
        <f t="shared" si="7"/>
        <v>12.32495775</v>
      </c>
      <c r="S53" s="4">
        <f t="shared" si="8"/>
        <v>12.9118605</v>
      </c>
      <c r="T53" s="4">
        <f t="shared" si="9"/>
        <v>13.49876325</v>
      </c>
      <c r="U53" s="2" t="s">
        <v>152</v>
      </c>
    </row>
    <row r="54" ht="15.75" customHeight="1">
      <c r="A54" s="2" t="s">
        <v>192</v>
      </c>
      <c r="B54" s="2" t="s">
        <v>193</v>
      </c>
      <c r="C54" s="2" t="s">
        <v>23</v>
      </c>
      <c r="D54" s="2" t="s">
        <v>83</v>
      </c>
      <c r="E54" s="2" t="s">
        <v>127</v>
      </c>
      <c r="F54" s="3">
        <v>2400.0</v>
      </c>
      <c r="G54" s="4">
        <v>19896.0</v>
      </c>
      <c r="H54" s="4">
        <v>20890.8</v>
      </c>
      <c r="I54" s="5">
        <f t="shared" si="2"/>
        <v>8.29</v>
      </c>
      <c r="J54" s="4">
        <v>0.0</v>
      </c>
      <c r="K54" s="4">
        <v>0.0</v>
      </c>
      <c r="L54" s="5">
        <f t="shared" si="3"/>
        <v>0</v>
      </c>
      <c r="M54" s="5">
        <f t="shared" ref="M54:N54" si="60">G54+J54</f>
        <v>19896</v>
      </c>
      <c r="N54" s="5">
        <f t="shared" si="60"/>
        <v>20890.8</v>
      </c>
      <c r="O54" s="6">
        <f t="shared" si="5"/>
        <v>8.29</v>
      </c>
      <c r="P54" s="5">
        <f t="shared" si="6"/>
        <v>8.7045</v>
      </c>
      <c r="Q54" s="4">
        <v>101.16</v>
      </c>
      <c r="R54" s="4">
        <f t="shared" si="7"/>
        <v>9.139725</v>
      </c>
      <c r="S54" s="4">
        <f t="shared" si="8"/>
        <v>9.57495</v>
      </c>
      <c r="T54" s="4">
        <f t="shared" si="9"/>
        <v>10.010175</v>
      </c>
      <c r="U54" s="2" t="s">
        <v>57</v>
      </c>
    </row>
    <row r="55" ht="15.75" customHeight="1">
      <c r="A55" s="2" t="s">
        <v>194</v>
      </c>
      <c r="B55" s="2" t="s">
        <v>195</v>
      </c>
      <c r="C55" s="2" t="s">
        <v>196</v>
      </c>
      <c r="D55" s="2" t="s">
        <v>36</v>
      </c>
      <c r="E55" s="2" t="s">
        <v>197</v>
      </c>
      <c r="F55" s="3">
        <v>30000.0</v>
      </c>
      <c r="G55" s="4">
        <v>412569.0</v>
      </c>
      <c r="H55" s="4">
        <v>433197.45</v>
      </c>
      <c r="I55" s="5">
        <f t="shared" si="2"/>
        <v>13.7523</v>
      </c>
      <c r="J55" s="4">
        <v>-11049.0</v>
      </c>
      <c r="K55" s="4">
        <v>-11601.45</v>
      </c>
      <c r="L55" s="5">
        <f t="shared" si="3"/>
        <v>-0.3683</v>
      </c>
      <c r="M55" s="5">
        <f t="shared" ref="M55:N55" si="61">G55+J55</f>
        <v>401520</v>
      </c>
      <c r="N55" s="5">
        <f t="shared" si="61"/>
        <v>421596</v>
      </c>
      <c r="O55" s="6">
        <f t="shared" si="5"/>
        <v>13.384</v>
      </c>
      <c r="P55" s="5">
        <f t="shared" si="6"/>
        <v>14.0532</v>
      </c>
      <c r="Q55" s="4">
        <v>144.56</v>
      </c>
      <c r="R55" s="4">
        <f t="shared" si="7"/>
        <v>14.75586</v>
      </c>
      <c r="S55" s="4">
        <f t="shared" si="8"/>
        <v>15.45852</v>
      </c>
      <c r="T55" s="4">
        <f t="shared" si="9"/>
        <v>16.16118</v>
      </c>
      <c r="U55" s="2" t="s">
        <v>198</v>
      </c>
    </row>
    <row r="56" ht="15.75" customHeight="1">
      <c r="A56" s="2" t="s">
        <v>199</v>
      </c>
      <c r="B56" s="2" t="s">
        <v>200</v>
      </c>
      <c r="C56" s="2" t="s">
        <v>178</v>
      </c>
      <c r="D56" s="2" t="s">
        <v>41</v>
      </c>
      <c r="E56" s="2" t="s">
        <v>45</v>
      </c>
      <c r="F56" s="3">
        <v>3000.0</v>
      </c>
      <c r="G56" s="4">
        <v>28428.0</v>
      </c>
      <c r="H56" s="4">
        <v>29849.4</v>
      </c>
      <c r="I56" s="5">
        <f t="shared" si="2"/>
        <v>9.476</v>
      </c>
      <c r="J56" s="4">
        <v>0.0</v>
      </c>
      <c r="K56" s="4">
        <v>0.0</v>
      </c>
      <c r="L56" s="5">
        <f t="shared" si="3"/>
        <v>0</v>
      </c>
      <c r="M56" s="5">
        <f t="shared" ref="M56:N56" si="62">G56+J56</f>
        <v>28428</v>
      </c>
      <c r="N56" s="5">
        <f t="shared" si="62"/>
        <v>29849.4</v>
      </c>
      <c r="O56" s="6">
        <f t="shared" si="5"/>
        <v>9.476</v>
      </c>
      <c r="P56" s="5">
        <f t="shared" si="6"/>
        <v>9.9498</v>
      </c>
      <c r="Q56" s="4">
        <v>54.24</v>
      </c>
      <c r="R56" s="4">
        <f t="shared" si="7"/>
        <v>10.44729</v>
      </c>
      <c r="S56" s="4">
        <f t="shared" si="8"/>
        <v>10.94478</v>
      </c>
      <c r="T56" s="4">
        <f t="shared" si="9"/>
        <v>11.44227</v>
      </c>
      <c r="U56" s="2" t="s">
        <v>201</v>
      </c>
    </row>
    <row r="57" ht="15.75" customHeight="1">
      <c r="A57" s="2" t="s">
        <v>202</v>
      </c>
      <c r="B57" s="2" t="s">
        <v>203</v>
      </c>
      <c r="C57" s="2" t="s">
        <v>204</v>
      </c>
      <c r="D57" s="2" t="s">
        <v>41</v>
      </c>
      <c r="E57" s="2" t="s">
        <v>205</v>
      </c>
      <c r="F57" s="3">
        <v>1200.0</v>
      </c>
      <c r="G57" s="4">
        <v>15216.0</v>
      </c>
      <c r="H57" s="4">
        <v>15976.8</v>
      </c>
      <c r="I57" s="5">
        <f t="shared" si="2"/>
        <v>12.68</v>
      </c>
      <c r="J57" s="4">
        <v>0.0</v>
      </c>
      <c r="K57" s="4">
        <v>0.0</v>
      </c>
      <c r="L57" s="5">
        <f t="shared" si="3"/>
        <v>0</v>
      </c>
      <c r="M57" s="5">
        <f t="shared" ref="M57:N57" si="63">G57+J57</f>
        <v>15216</v>
      </c>
      <c r="N57" s="5">
        <f t="shared" si="63"/>
        <v>15976.8</v>
      </c>
      <c r="O57" s="6">
        <f t="shared" si="5"/>
        <v>12.68</v>
      </c>
      <c r="P57" s="5">
        <f t="shared" si="6"/>
        <v>13.314</v>
      </c>
      <c r="Q57" s="4">
        <v>56.67</v>
      </c>
      <c r="R57" s="4">
        <f t="shared" si="7"/>
        <v>13.9797</v>
      </c>
      <c r="S57" s="4">
        <f t="shared" si="8"/>
        <v>14.6454</v>
      </c>
      <c r="T57" s="4">
        <f t="shared" si="9"/>
        <v>15.3111</v>
      </c>
      <c r="U57" s="2" t="s">
        <v>85</v>
      </c>
    </row>
    <row r="58" ht="15.75" customHeight="1">
      <c r="A58" s="2" t="s">
        <v>206</v>
      </c>
      <c r="B58" s="2" t="s">
        <v>207</v>
      </c>
      <c r="C58" s="2" t="s">
        <v>208</v>
      </c>
      <c r="D58" s="2" t="s">
        <v>41</v>
      </c>
      <c r="E58" s="2" t="s">
        <v>205</v>
      </c>
      <c r="F58" s="3">
        <v>250.0</v>
      </c>
      <c r="G58" s="4">
        <v>23626.28</v>
      </c>
      <c r="H58" s="4">
        <v>24807.59</v>
      </c>
      <c r="I58" s="5">
        <f t="shared" si="2"/>
        <v>94.50512</v>
      </c>
      <c r="J58" s="4">
        <v>0.0</v>
      </c>
      <c r="K58" s="4">
        <v>0.0</v>
      </c>
      <c r="L58" s="5">
        <f t="shared" si="3"/>
        <v>0</v>
      </c>
      <c r="M58" s="5">
        <f t="shared" ref="M58:N58" si="64">G58+J58</f>
        <v>23626.28</v>
      </c>
      <c r="N58" s="5">
        <f t="shared" si="64"/>
        <v>24807.59</v>
      </c>
      <c r="O58" s="6">
        <f t="shared" si="5"/>
        <v>94.50512</v>
      </c>
      <c r="P58" s="5">
        <f t="shared" si="6"/>
        <v>99.23036</v>
      </c>
      <c r="Q58" s="4">
        <v>370.83</v>
      </c>
      <c r="R58" s="4">
        <f t="shared" si="7"/>
        <v>104.191878</v>
      </c>
      <c r="S58" s="4">
        <f t="shared" si="8"/>
        <v>109.153396</v>
      </c>
      <c r="T58" s="4">
        <f t="shared" si="9"/>
        <v>114.114914</v>
      </c>
      <c r="U58" s="2" t="s">
        <v>85</v>
      </c>
    </row>
    <row r="59" ht="15.75" customHeight="1">
      <c r="A59" s="2" t="s">
        <v>209</v>
      </c>
      <c r="B59" s="2" t="s">
        <v>210</v>
      </c>
      <c r="C59" s="2" t="s">
        <v>211</v>
      </c>
      <c r="D59" s="2" t="s">
        <v>83</v>
      </c>
      <c r="E59" s="2" t="s">
        <v>205</v>
      </c>
      <c r="F59" s="3">
        <v>1200.0</v>
      </c>
      <c r="G59" s="4">
        <v>9924.0</v>
      </c>
      <c r="H59" s="4">
        <v>10420.2</v>
      </c>
      <c r="I59" s="5">
        <f t="shared" si="2"/>
        <v>8.27</v>
      </c>
      <c r="J59" s="4">
        <v>0.0</v>
      </c>
      <c r="K59" s="4">
        <v>0.0</v>
      </c>
      <c r="L59" s="5">
        <f t="shared" si="3"/>
        <v>0</v>
      </c>
      <c r="M59" s="5">
        <f t="shared" ref="M59:N59" si="65">G59+J59</f>
        <v>9924</v>
      </c>
      <c r="N59" s="5">
        <f t="shared" si="65"/>
        <v>10420.2</v>
      </c>
      <c r="O59" s="6">
        <f t="shared" si="5"/>
        <v>8.27</v>
      </c>
      <c r="P59" s="5">
        <f t="shared" si="6"/>
        <v>8.6835</v>
      </c>
      <c r="Q59" s="4">
        <v>55.97</v>
      </c>
      <c r="R59" s="4">
        <f t="shared" si="7"/>
        <v>9.117675</v>
      </c>
      <c r="S59" s="4">
        <f t="shared" si="8"/>
        <v>9.55185</v>
      </c>
      <c r="T59" s="4">
        <f t="shared" si="9"/>
        <v>9.986025</v>
      </c>
      <c r="U59" s="2" t="s">
        <v>38</v>
      </c>
    </row>
    <row r="60" ht="15.75" customHeight="1">
      <c r="A60" s="2" t="s">
        <v>212</v>
      </c>
      <c r="B60" s="2" t="s">
        <v>213</v>
      </c>
      <c r="C60" s="2" t="s">
        <v>64</v>
      </c>
      <c r="D60" s="2" t="s">
        <v>161</v>
      </c>
      <c r="E60" s="2" t="s">
        <v>127</v>
      </c>
      <c r="F60" s="3">
        <v>900.0</v>
      </c>
      <c r="G60" s="4">
        <v>45749.97</v>
      </c>
      <c r="H60" s="4">
        <v>48037.47</v>
      </c>
      <c r="I60" s="5">
        <f t="shared" si="2"/>
        <v>50.8333</v>
      </c>
      <c r="J60" s="4">
        <v>0.0</v>
      </c>
      <c r="K60" s="4">
        <v>0.0</v>
      </c>
      <c r="L60" s="5">
        <f t="shared" si="3"/>
        <v>0</v>
      </c>
      <c r="M60" s="5">
        <f t="shared" ref="M60:N60" si="66">G60+J60</f>
        <v>45749.97</v>
      </c>
      <c r="N60" s="5">
        <f t="shared" si="66"/>
        <v>48037.47</v>
      </c>
      <c r="O60" s="6">
        <f t="shared" si="5"/>
        <v>50.8333</v>
      </c>
      <c r="P60" s="5">
        <f t="shared" si="6"/>
        <v>53.37496667</v>
      </c>
      <c r="Q60" s="4">
        <v>200.44</v>
      </c>
      <c r="R60" s="4">
        <f t="shared" si="7"/>
        <v>56.043715</v>
      </c>
      <c r="S60" s="4">
        <f t="shared" si="8"/>
        <v>58.71246333</v>
      </c>
      <c r="T60" s="4">
        <f t="shared" si="9"/>
        <v>61.38121167</v>
      </c>
      <c r="U60" s="2" t="s">
        <v>38</v>
      </c>
    </row>
    <row r="61" ht="15.75" customHeight="1">
      <c r="A61" s="2" t="s">
        <v>214</v>
      </c>
      <c r="B61" s="2" t="s">
        <v>215</v>
      </c>
      <c r="C61" s="2" t="s">
        <v>64</v>
      </c>
      <c r="D61" s="2" t="s">
        <v>216</v>
      </c>
      <c r="E61" s="2" t="s">
        <v>127</v>
      </c>
      <c r="F61" s="3">
        <v>1200.0</v>
      </c>
      <c r="G61" s="4">
        <v>109251.6</v>
      </c>
      <c r="H61" s="4">
        <v>114714.18</v>
      </c>
      <c r="I61" s="5">
        <f t="shared" si="2"/>
        <v>91.043</v>
      </c>
      <c r="J61" s="4">
        <v>-1541.88</v>
      </c>
      <c r="K61" s="4">
        <v>-1618.97</v>
      </c>
      <c r="L61" s="5">
        <f t="shared" si="3"/>
        <v>-1.2849</v>
      </c>
      <c r="M61" s="5">
        <f t="shared" ref="M61:N61" si="67">G61+J61</f>
        <v>107709.72</v>
      </c>
      <c r="N61" s="5">
        <f t="shared" si="67"/>
        <v>113095.21</v>
      </c>
      <c r="O61" s="6">
        <f t="shared" si="5"/>
        <v>89.7581</v>
      </c>
      <c r="P61" s="5">
        <f t="shared" si="6"/>
        <v>94.24600833</v>
      </c>
      <c r="Q61" s="4">
        <v>394.64</v>
      </c>
      <c r="R61" s="4">
        <f t="shared" si="7"/>
        <v>98.95830875</v>
      </c>
      <c r="S61" s="4">
        <f t="shared" si="8"/>
        <v>103.6706092</v>
      </c>
      <c r="T61" s="4">
        <f t="shared" si="9"/>
        <v>108.3829096</v>
      </c>
      <c r="U61" s="2" t="s">
        <v>217</v>
      </c>
    </row>
    <row r="62" ht="15.75" customHeight="1">
      <c r="A62" s="2" t="s">
        <v>218</v>
      </c>
      <c r="B62" s="2" t="s">
        <v>219</v>
      </c>
      <c r="C62" s="2" t="s">
        <v>220</v>
      </c>
      <c r="D62" s="2" t="s">
        <v>41</v>
      </c>
      <c r="E62" s="2" t="s">
        <v>221</v>
      </c>
      <c r="F62" s="3">
        <v>480.0</v>
      </c>
      <c r="G62" s="4">
        <v>19058.4</v>
      </c>
      <c r="H62" s="4">
        <v>20011.32</v>
      </c>
      <c r="I62" s="5">
        <f t="shared" si="2"/>
        <v>39.705</v>
      </c>
      <c r="J62" s="4">
        <v>0.0</v>
      </c>
      <c r="K62" s="4">
        <v>0.0</v>
      </c>
      <c r="L62" s="5">
        <f t="shared" si="3"/>
        <v>0</v>
      </c>
      <c r="M62" s="5">
        <f t="shared" ref="M62:N62" si="68">G62+J62</f>
        <v>19058.4</v>
      </c>
      <c r="N62" s="5">
        <f t="shared" si="68"/>
        <v>20011.32</v>
      </c>
      <c r="O62" s="6">
        <f t="shared" si="5"/>
        <v>39.705</v>
      </c>
      <c r="P62" s="5">
        <f t="shared" si="6"/>
        <v>41.69025</v>
      </c>
      <c r="Q62" s="4">
        <v>238.73</v>
      </c>
      <c r="R62" s="4">
        <f t="shared" si="7"/>
        <v>43.7747625</v>
      </c>
      <c r="S62" s="4">
        <f t="shared" si="8"/>
        <v>45.859275</v>
      </c>
      <c r="T62" s="4">
        <f t="shared" si="9"/>
        <v>47.9437875</v>
      </c>
      <c r="U62" s="2" t="s">
        <v>57</v>
      </c>
    </row>
    <row r="63" ht="15.75" customHeight="1">
      <c r="A63" s="2" t="s">
        <v>222</v>
      </c>
      <c r="B63" s="2" t="s">
        <v>223</v>
      </c>
      <c r="C63" s="2" t="s">
        <v>224</v>
      </c>
      <c r="D63" s="2" t="s">
        <v>36</v>
      </c>
      <c r="E63" s="2" t="s">
        <v>221</v>
      </c>
      <c r="F63" s="3">
        <v>1200.0</v>
      </c>
      <c r="G63" s="4">
        <v>68793.6</v>
      </c>
      <c r="H63" s="4">
        <v>72233.28</v>
      </c>
      <c r="I63" s="5">
        <f t="shared" si="2"/>
        <v>57.328</v>
      </c>
      <c r="J63" s="4">
        <v>0.0</v>
      </c>
      <c r="K63" s="4">
        <v>0.0</v>
      </c>
      <c r="L63" s="5">
        <f t="shared" si="3"/>
        <v>0</v>
      </c>
      <c r="M63" s="5">
        <f t="shared" ref="M63:N63" si="69">G63+J63</f>
        <v>68793.6</v>
      </c>
      <c r="N63" s="5">
        <f t="shared" si="69"/>
        <v>72233.28</v>
      </c>
      <c r="O63" s="6">
        <f t="shared" si="5"/>
        <v>57.328</v>
      </c>
      <c r="P63" s="5">
        <f t="shared" si="6"/>
        <v>60.1944</v>
      </c>
      <c r="Q63" s="4">
        <v>436.69</v>
      </c>
      <c r="R63" s="4">
        <f t="shared" si="7"/>
        <v>63.20412</v>
      </c>
      <c r="S63" s="4">
        <f t="shared" si="8"/>
        <v>66.21384</v>
      </c>
      <c r="T63" s="4">
        <f t="shared" si="9"/>
        <v>69.22356</v>
      </c>
      <c r="U63" s="2" t="s">
        <v>26</v>
      </c>
    </row>
    <row r="64" ht="15.75" customHeight="1">
      <c r="A64" s="2" t="s">
        <v>225</v>
      </c>
      <c r="B64" s="2" t="s">
        <v>226</v>
      </c>
      <c r="C64" s="2" t="s">
        <v>224</v>
      </c>
      <c r="D64" s="2" t="s">
        <v>30</v>
      </c>
      <c r="E64" s="2" t="s">
        <v>127</v>
      </c>
      <c r="F64" s="3">
        <v>1200.0</v>
      </c>
      <c r="G64" s="4">
        <v>40355.52</v>
      </c>
      <c r="H64" s="4">
        <v>42373.3</v>
      </c>
      <c r="I64" s="5">
        <f t="shared" si="2"/>
        <v>33.6296</v>
      </c>
      <c r="J64" s="4">
        <v>0.0</v>
      </c>
      <c r="K64" s="4">
        <v>0.0</v>
      </c>
      <c r="L64" s="5">
        <f t="shared" si="3"/>
        <v>0</v>
      </c>
      <c r="M64" s="5">
        <f t="shared" ref="M64:N64" si="70">G64+J64</f>
        <v>40355.52</v>
      </c>
      <c r="N64" s="5">
        <f t="shared" si="70"/>
        <v>42373.3</v>
      </c>
      <c r="O64" s="6">
        <f t="shared" si="5"/>
        <v>33.6296</v>
      </c>
      <c r="P64" s="5">
        <f t="shared" si="6"/>
        <v>35.31108333</v>
      </c>
      <c r="Q64" s="4">
        <v>225.0</v>
      </c>
      <c r="R64" s="4">
        <f t="shared" si="7"/>
        <v>37.0766375</v>
      </c>
      <c r="S64" s="4">
        <f t="shared" si="8"/>
        <v>38.84219167</v>
      </c>
      <c r="T64" s="4">
        <f t="shared" si="9"/>
        <v>40.60774583</v>
      </c>
      <c r="U64" s="2" t="s">
        <v>26</v>
      </c>
    </row>
    <row r="65" ht="15.75" customHeight="1">
      <c r="A65" s="2" t="s">
        <v>227</v>
      </c>
      <c r="B65" s="2" t="s">
        <v>228</v>
      </c>
      <c r="C65" s="2" t="s">
        <v>49</v>
      </c>
      <c r="D65" s="2" t="s">
        <v>36</v>
      </c>
      <c r="E65" s="2" t="s">
        <v>127</v>
      </c>
      <c r="F65" s="3">
        <v>2560.0</v>
      </c>
      <c r="G65" s="4">
        <v>57676.8</v>
      </c>
      <c r="H65" s="4">
        <v>60560.64</v>
      </c>
      <c r="I65" s="5">
        <f t="shared" si="2"/>
        <v>22.53</v>
      </c>
      <c r="J65" s="4">
        <v>0.0</v>
      </c>
      <c r="K65" s="4">
        <v>0.0</v>
      </c>
      <c r="L65" s="5">
        <f t="shared" si="3"/>
        <v>0</v>
      </c>
      <c r="M65" s="5">
        <f t="shared" ref="M65:N65" si="71">G65+J65</f>
        <v>57676.8</v>
      </c>
      <c r="N65" s="5">
        <f t="shared" si="71"/>
        <v>60560.64</v>
      </c>
      <c r="O65" s="6">
        <f t="shared" si="5"/>
        <v>22.53</v>
      </c>
      <c r="P65" s="5">
        <f t="shared" si="6"/>
        <v>23.6565</v>
      </c>
      <c r="Q65" s="4">
        <v>124.88</v>
      </c>
      <c r="R65" s="4">
        <f t="shared" si="7"/>
        <v>24.839325</v>
      </c>
      <c r="S65" s="4">
        <f t="shared" si="8"/>
        <v>26.02215</v>
      </c>
      <c r="T65" s="4">
        <f t="shared" si="9"/>
        <v>27.204975</v>
      </c>
      <c r="U65" s="2" t="s">
        <v>57</v>
      </c>
    </row>
    <row r="66" ht="15.75" customHeight="1">
      <c r="A66" s="2" t="s">
        <v>229</v>
      </c>
      <c r="B66" s="2" t="s">
        <v>230</v>
      </c>
      <c r="C66" s="2" t="s">
        <v>231</v>
      </c>
      <c r="D66" s="2" t="s">
        <v>41</v>
      </c>
      <c r="E66" s="2" t="s">
        <v>127</v>
      </c>
      <c r="F66" s="3">
        <v>11325.0</v>
      </c>
      <c r="G66" s="4">
        <v>453000.0</v>
      </c>
      <c r="H66" s="4">
        <v>475650.0</v>
      </c>
      <c r="I66" s="5">
        <f t="shared" si="2"/>
        <v>40</v>
      </c>
      <c r="J66" s="4">
        <v>0.0</v>
      </c>
      <c r="K66" s="4">
        <v>0.0</v>
      </c>
      <c r="L66" s="5">
        <f t="shared" si="3"/>
        <v>0</v>
      </c>
      <c r="M66" s="5">
        <f t="shared" ref="M66:N66" si="72">G66+J66</f>
        <v>453000</v>
      </c>
      <c r="N66" s="5">
        <f t="shared" si="72"/>
        <v>475650</v>
      </c>
      <c r="O66" s="6">
        <f t="shared" si="5"/>
        <v>40</v>
      </c>
      <c r="P66" s="5">
        <f t="shared" si="6"/>
        <v>42</v>
      </c>
      <c r="Q66" s="4">
        <v>154.55</v>
      </c>
      <c r="R66" s="4">
        <f t="shared" si="7"/>
        <v>44.1</v>
      </c>
      <c r="S66" s="4">
        <f t="shared" si="8"/>
        <v>46.2</v>
      </c>
      <c r="T66" s="4">
        <f t="shared" si="9"/>
        <v>48.3</v>
      </c>
      <c r="U66" s="2" t="s">
        <v>232</v>
      </c>
    </row>
    <row r="67" ht="15.75" customHeight="1">
      <c r="A67" s="2" t="s">
        <v>229</v>
      </c>
      <c r="B67" s="2" t="s">
        <v>233</v>
      </c>
      <c r="C67" s="2" t="s">
        <v>231</v>
      </c>
      <c r="D67" s="2" t="s">
        <v>41</v>
      </c>
      <c r="E67" s="2" t="s">
        <v>127</v>
      </c>
      <c r="F67" s="3">
        <v>15675.0</v>
      </c>
      <c r="G67" s="4">
        <v>627000.0</v>
      </c>
      <c r="H67" s="4">
        <v>658350.0</v>
      </c>
      <c r="I67" s="5">
        <f t="shared" si="2"/>
        <v>40</v>
      </c>
      <c r="J67" s="4">
        <v>0.0</v>
      </c>
      <c r="K67" s="4">
        <v>0.0</v>
      </c>
      <c r="L67" s="5">
        <f t="shared" si="3"/>
        <v>0</v>
      </c>
      <c r="M67" s="5">
        <f t="shared" ref="M67:N67" si="73">G67+J67</f>
        <v>627000</v>
      </c>
      <c r="N67" s="5">
        <f t="shared" si="73"/>
        <v>658350</v>
      </c>
      <c r="O67" s="6">
        <f t="shared" si="5"/>
        <v>40</v>
      </c>
      <c r="P67" s="5">
        <f t="shared" si="6"/>
        <v>42</v>
      </c>
      <c r="Q67" s="4">
        <v>154.55</v>
      </c>
      <c r="R67" s="4">
        <f t="shared" si="7"/>
        <v>44.1</v>
      </c>
      <c r="S67" s="4">
        <f t="shared" si="8"/>
        <v>46.2</v>
      </c>
      <c r="T67" s="4">
        <f t="shared" si="9"/>
        <v>48.3</v>
      </c>
      <c r="U67" s="2" t="s">
        <v>232</v>
      </c>
    </row>
    <row r="68" ht="15.75" customHeight="1">
      <c r="A68" s="2" t="s">
        <v>234</v>
      </c>
      <c r="B68" s="2" t="s">
        <v>235</v>
      </c>
      <c r="C68" s="2" t="s">
        <v>236</v>
      </c>
      <c r="D68" s="2" t="s">
        <v>41</v>
      </c>
      <c r="E68" s="2" t="s">
        <v>237</v>
      </c>
      <c r="F68" s="3">
        <v>12880.0</v>
      </c>
      <c r="G68" s="4">
        <v>345530.47</v>
      </c>
      <c r="H68" s="4">
        <v>362806.99</v>
      </c>
      <c r="I68" s="5">
        <f t="shared" si="2"/>
        <v>26.82689984</v>
      </c>
      <c r="J68" s="4">
        <v>-10521.67</v>
      </c>
      <c r="K68" s="4">
        <v>-11047.75</v>
      </c>
      <c r="L68" s="5">
        <f t="shared" si="3"/>
        <v>-0.8168998447</v>
      </c>
      <c r="M68" s="5">
        <f t="shared" ref="M68:N68" si="74">G68+J68</f>
        <v>335008.8</v>
      </c>
      <c r="N68" s="5">
        <f t="shared" si="74"/>
        <v>351759.24</v>
      </c>
      <c r="O68" s="6">
        <f t="shared" si="5"/>
        <v>26.01</v>
      </c>
      <c r="P68" s="5">
        <f t="shared" si="6"/>
        <v>27.3105</v>
      </c>
      <c r="Q68" s="4">
        <v>83.2</v>
      </c>
      <c r="R68" s="4">
        <f t="shared" si="7"/>
        <v>28.676025</v>
      </c>
      <c r="S68" s="4">
        <f t="shared" si="8"/>
        <v>30.04155</v>
      </c>
      <c r="T68" s="4">
        <f t="shared" si="9"/>
        <v>31.407075</v>
      </c>
      <c r="U68" s="2" t="s">
        <v>238</v>
      </c>
    </row>
    <row r="69" ht="15.75" customHeight="1">
      <c r="A69" s="2" t="s">
        <v>234</v>
      </c>
      <c r="B69" s="2" t="s">
        <v>239</v>
      </c>
      <c r="C69" s="2" t="s">
        <v>236</v>
      </c>
      <c r="D69" s="2" t="s">
        <v>41</v>
      </c>
      <c r="E69" s="2" t="s">
        <v>237</v>
      </c>
      <c r="F69" s="3">
        <v>11120.0</v>
      </c>
      <c r="G69" s="4">
        <v>298315.13</v>
      </c>
      <c r="H69" s="4">
        <v>313230.89</v>
      </c>
      <c r="I69" s="5">
        <f t="shared" si="2"/>
        <v>26.82690018</v>
      </c>
      <c r="J69" s="4">
        <v>-9083.93</v>
      </c>
      <c r="K69" s="4">
        <v>-9538.13</v>
      </c>
      <c r="L69" s="5">
        <f t="shared" si="3"/>
        <v>-0.8169001799</v>
      </c>
      <c r="M69" s="5">
        <f t="shared" ref="M69:N69" si="75">G69+J69</f>
        <v>289231.2</v>
      </c>
      <c r="N69" s="5">
        <f t="shared" si="75"/>
        <v>303692.76</v>
      </c>
      <c r="O69" s="6">
        <f t="shared" si="5"/>
        <v>26.01</v>
      </c>
      <c r="P69" s="5">
        <f t="shared" si="6"/>
        <v>27.3105</v>
      </c>
      <c r="Q69" s="4">
        <v>83.2</v>
      </c>
      <c r="R69" s="4">
        <f t="shared" si="7"/>
        <v>28.676025</v>
      </c>
      <c r="S69" s="4">
        <f t="shared" si="8"/>
        <v>30.04155</v>
      </c>
      <c r="T69" s="4">
        <f t="shared" si="9"/>
        <v>31.407075</v>
      </c>
      <c r="U69" s="2" t="s">
        <v>238</v>
      </c>
    </row>
    <row r="70" ht="15.75" customHeight="1">
      <c r="A70" s="2" t="s">
        <v>240</v>
      </c>
      <c r="B70" s="2" t="s">
        <v>241</v>
      </c>
      <c r="C70" s="2" t="s">
        <v>242</v>
      </c>
      <c r="D70" s="2" t="s">
        <v>243</v>
      </c>
      <c r="E70" s="2" t="s">
        <v>127</v>
      </c>
      <c r="F70" s="3">
        <v>3750.0</v>
      </c>
      <c r="G70" s="4">
        <v>16810.13</v>
      </c>
      <c r="H70" s="4">
        <v>17650.64</v>
      </c>
      <c r="I70" s="5">
        <f t="shared" si="2"/>
        <v>4.482701333</v>
      </c>
      <c r="J70" s="4">
        <v>0.0</v>
      </c>
      <c r="K70" s="4">
        <v>0.0</v>
      </c>
      <c r="L70" s="5">
        <f t="shared" si="3"/>
        <v>0</v>
      </c>
      <c r="M70" s="5">
        <f t="shared" ref="M70:N70" si="76">G70+J70</f>
        <v>16810.13</v>
      </c>
      <c r="N70" s="5">
        <f t="shared" si="76"/>
        <v>17650.64</v>
      </c>
      <c r="O70" s="6">
        <f t="shared" si="5"/>
        <v>4.482701333</v>
      </c>
      <c r="P70" s="5">
        <f t="shared" si="6"/>
        <v>4.706837333</v>
      </c>
      <c r="Q70" s="4">
        <v>9.51</v>
      </c>
      <c r="R70" s="4">
        <f t="shared" si="7"/>
        <v>4.9421792</v>
      </c>
      <c r="S70" s="4">
        <f t="shared" si="8"/>
        <v>5.177521067</v>
      </c>
      <c r="T70" s="4">
        <f t="shared" si="9"/>
        <v>5.412862933</v>
      </c>
      <c r="U70" s="2" t="s">
        <v>26</v>
      </c>
    </row>
    <row r="71" ht="15.75" customHeight="1">
      <c r="A71" s="2" t="s">
        <v>244</v>
      </c>
      <c r="B71" s="2" t="s">
        <v>245</v>
      </c>
      <c r="C71" s="2" t="s">
        <v>211</v>
      </c>
      <c r="D71" s="2" t="s">
        <v>41</v>
      </c>
      <c r="E71" s="2" t="s">
        <v>127</v>
      </c>
      <c r="F71" s="3">
        <v>720.0</v>
      </c>
      <c r="G71" s="4">
        <v>5865.62</v>
      </c>
      <c r="H71" s="4">
        <v>6158.9</v>
      </c>
      <c r="I71" s="5">
        <f t="shared" si="2"/>
        <v>8.146694444</v>
      </c>
      <c r="J71" s="4">
        <v>-278.06</v>
      </c>
      <c r="K71" s="4">
        <v>-291.96</v>
      </c>
      <c r="L71" s="5">
        <f t="shared" si="3"/>
        <v>-0.3861944444</v>
      </c>
      <c r="M71" s="5">
        <f t="shared" ref="M71:N71" si="77">G71+J71</f>
        <v>5587.56</v>
      </c>
      <c r="N71" s="5">
        <f t="shared" si="77"/>
        <v>5866.94</v>
      </c>
      <c r="O71" s="6">
        <f t="shared" si="5"/>
        <v>7.7605</v>
      </c>
      <c r="P71" s="5">
        <f t="shared" si="6"/>
        <v>8.148527778</v>
      </c>
      <c r="Q71" s="4">
        <v>81.75</v>
      </c>
      <c r="R71" s="4">
        <f t="shared" si="7"/>
        <v>8.555954167</v>
      </c>
      <c r="S71" s="4">
        <f t="shared" si="8"/>
        <v>8.963380556</v>
      </c>
      <c r="T71" s="4">
        <f t="shared" si="9"/>
        <v>9.370806944</v>
      </c>
      <c r="U71" s="2" t="s">
        <v>246</v>
      </c>
    </row>
    <row r="72" ht="15.75" customHeight="1">
      <c r="A72" s="2" t="s">
        <v>247</v>
      </c>
      <c r="B72" s="2" t="s">
        <v>248</v>
      </c>
      <c r="C72" s="2" t="s">
        <v>49</v>
      </c>
      <c r="D72" s="2" t="s">
        <v>249</v>
      </c>
      <c r="E72" s="2" t="s">
        <v>221</v>
      </c>
      <c r="F72" s="3">
        <v>1000.0</v>
      </c>
      <c r="G72" s="4">
        <v>6990.0</v>
      </c>
      <c r="H72" s="4">
        <v>7339.5</v>
      </c>
      <c r="I72" s="5">
        <f t="shared" si="2"/>
        <v>6.99</v>
      </c>
      <c r="J72" s="4">
        <v>0.0</v>
      </c>
      <c r="K72" s="4">
        <v>0.0</v>
      </c>
      <c r="L72" s="5">
        <f t="shared" si="3"/>
        <v>0</v>
      </c>
      <c r="M72" s="5">
        <f t="shared" ref="M72:N72" si="78">G72+J72</f>
        <v>6990</v>
      </c>
      <c r="N72" s="5">
        <f t="shared" si="78"/>
        <v>7339.5</v>
      </c>
      <c r="O72" s="6">
        <f t="shared" si="5"/>
        <v>6.99</v>
      </c>
      <c r="P72" s="5">
        <f t="shared" si="6"/>
        <v>7.3395</v>
      </c>
      <c r="Q72" s="4">
        <v>26.63</v>
      </c>
      <c r="R72" s="4">
        <f t="shared" si="7"/>
        <v>7.706475</v>
      </c>
      <c r="S72" s="4">
        <f t="shared" si="8"/>
        <v>8.07345</v>
      </c>
      <c r="T72" s="4">
        <f t="shared" si="9"/>
        <v>8.440425</v>
      </c>
      <c r="U72" s="2" t="s">
        <v>57</v>
      </c>
    </row>
    <row r="73" ht="15.75" customHeight="1">
      <c r="A73" s="2" t="s">
        <v>250</v>
      </c>
      <c r="B73" s="2" t="s">
        <v>251</v>
      </c>
      <c r="C73" s="2" t="s">
        <v>151</v>
      </c>
      <c r="D73" s="2" t="s">
        <v>36</v>
      </c>
      <c r="E73" s="2" t="s">
        <v>252</v>
      </c>
      <c r="F73" s="3">
        <v>700.0</v>
      </c>
      <c r="G73" s="4">
        <v>46914.84</v>
      </c>
      <c r="H73" s="4">
        <v>49260.58</v>
      </c>
      <c r="I73" s="5">
        <f t="shared" si="2"/>
        <v>67.0212</v>
      </c>
      <c r="J73" s="4">
        <v>0.0</v>
      </c>
      <c r="K73" s="4">
        <v>0.0</v>
      </c>
      <c r="L73" s="5">
        <f t="shared" si="3"/>
        <v>0</v>
      </c>
      <c r="M73" s="5">
        <f t="shared" ref="M73:N73" si="79">G73+J73</f>
        <v>46914.84</v>
      </c>
      <c r="N73" s="5">
        <f t="shared" si="79"/>
        <v>49260.58</v>
      </c>
      <c r="O73" s="6">
        <f t="shared" si="5"/>
        <v>67.0212</v>
      </c>
      <c r="P73" s="5">
        <f t="shared" si="6"/>
        <v>70.37225714</v>
      </c>
      <c r="Q73" s="4">
        <v>295.85</v>
      </c>
      <c r="R73" s="4">
        <f t="shared" si="7"/>
        <v>73.89087</v>
      </c>
      <c r="S73" s="4">
        <f t="shared" si="8"/>
        <v>77.40948286</v>
      </c>
      <c r="T73" s="4">
        <f t="shared" si="9"/>
        <v>80.92809571</v>
      </c>
      <c r="U73" s="2" t="s">
        <v>38</v>
      </c>
    </row>
    <row r="74" ht="15.75" customHeight="1">
      <c r="A74" s="2" t="s">
        <v>253</v>
      </c>
      <c r="B74" s="2" t="s">
        <v>254</v>
      </c>
      <c r="C74" s="2" t="s">
        <v>151</v>
      </c>
      <c r="D74" s="2" t="s">
        <v>36</v>
      </c>
      <c r="E74" s="2" t="s">
        <v>252</v>
      </c>
      <c r="F74" s="3">
        <v>3000.0</v>
      </c>
      <c r="G74" s="4">
        <v>309039.9</v>
      </c>
      <c r="H74" s="4">
        <v>324491.9</v>
      </c>
      <c r="I74" s="5">
        <f t="shared" si="2"/>
        <v>103.0133</v>
      </c>
      <c r="J74" s="4">
        <v>0.0</v>
      </c>
      <c r="K74" s="4">
        <v>0.0</v>
      </c>
      <c r="L74" s="5">
        <f t="shared" si="3"/>
        <v>0</v>
      </c>
      <c r="M74" s="5">
        <f t="shared" ref="M74:N74" si="80">G74+J74</f>
        <v>309039.9</v>
      </c>
      <c r="N74" s="5">
        <f t="shared" si="80"/>
        <v>324491.9</v>
      </c>
      <c r="O74" s="6">
        <f t="shared" si="5"/>
        <v>103.0133</v>
      </c>
      <c r="P74" s="5">
        <f t="shared" si="6"/>
        <v>108.1639667</v>
      </c>
      <c r="Q74" s="4">
        <v>514.75</v>
      </c>
      <c r="R74" s="4">
        <f t="shared" si="7"/>
        <v>113.572165</v>
      </c>
      <c r="S74" s="4">
        <f t="shared" si="8"/>
        <v>118.9803633</v>
      </c>
      <c r="T74" s="4">
        <f t="shared" si="9"/>
        <v>124.3885617</v>
      </c>
      <c r="U74" s="2" t="s">
        <v>38</v>
      </c>
    </row>
    <row r="75" ht="15.75" customHeight="1">
      <c r="A75" s="2" t="s">
        <v>255</v>
      </c>
      <c r="B75" s="2" t="s">
        <v>256</v>
      </c>
      <c r="C75" s="2" t="s">
        <v>49</v>
      </c>
      <c r="D75" s="2" t="s">
        <v>30</v>
      </c>
      <c r="E75" s="2" t="s">
        <v>257</v>
      </c>
      <c r="F75" s="3">
        <v>1920.0</v>
      </c>
      <c r="G75" s="4">
        <v>45523.2</v>
      </c>
      <c r="H75" s="4">
        <v>47799.36</v>
      </c>
      <c r="I75" s="5">
        <f t="shared" si="2"/>
        <v>23.71</v>
      </c>
      <c r="J75" s="4">
        <v>0.0</v>
      </c>
      <c r="K75" s="4">
        <v>0.0</v>
      </c>
      <c r="L75" s="5">
        <f t="shared" si="3"/>
        <v>0</v>
      </c>
      <c r="M75" s="5">
        <f t="shared" ref="M75:N75" si="81">G75+J75</f>
        <v>45523.2</v>
      </c>
      <c r="N75" s="5">
        <f t="shared" si="81"/>
        <v>47799.36</v>
      </c>
      <c r="O75" s="6">
        <f t="shared" si="5"/>
        <v>23.71</v>
      </c>
      <c r="P75" s="5">
        <f t="shared" si="6"/>
        <v>24.8955</v>
      </c>
      <c r="Q75" s="4">
        <v>39.47</v>
      </c>
      <c r="R75" s="4">
        <f t="shared" si="7"/>
        <v>26.140275</v>
      </c>
      <c r="S75" s="4">
        <f t="shared" si="8"/>
        <v>27.38505</v>
      </c>
      <c r="T75" s="4">
        <f t="shared" si="9"/>
        <v>28.629825</v>
      </c>
      <c r="U75" s="2" t="s">
        <v>26</v>
      </c>
    </row>
    <row r="76" ht="15.75" customHeight="1">
      <c r="A76" s="2" t="s">
        <v>258</v>
      </c>
      <c r="B76" s="2" t="s">
        <v>259</v>
      </c>
      <c r="C76" s="2" t="s">
        <v>64</v>
      </c>
      <c r="D76" s="2" t="s">
        <v>30</v>
      </c>
      <c r="E76" s="2" t="s">
        <v>257</v>
      </c>
      <c r="F76" s="3">
        <v>1500.0</v>
      </c>
      <c r="G76" s="4">
        <v>67500.0</v>
      </c>
      <c r="H76" s="4">
        <v>70875.0</v>
      </c>
      <c r="I76" s="5">
        <f t="shared" si="2"/>
        <v>45</v>
      </c>
      <c r="J76" s="4">
        <v>0.0</v>
      </c>
      <c r="K76" s="4">
        <v>0.0</v>
      </c>
      <c r="L76" s="5">
        <f t="shared" si="3"/>
        <v>0</v>
      </c>
      <c r="M76" s="5">
        <f t="shared" ref="M76:N76" si="82">G76+J76</f>
        <v>67500</v>
      </c>
      <c r="N76" s="5">
        <f t="shared" si="82"/>
        <v>70875</v>
      </c>
      <c r="O76" s="6">
        <f t="shared" si="5"/>
        <v>45</v>
      </c>
      <c r="P76" s="5">
        <f t="shared" si="6"/>
        <v>47.25</v>
      </c>
      <c r="Q76" s="4">
        <v>72.13</v>
      </c>
      <c r="R76" s="4">
        <f t="shared" si="7"/>
        <v>49.6125</v>
      </c>
      <c r="S76" s="4">
        <f t="shared" si="8"/>
        <v>51.975</v>
      </c>
      <c r="T76" s="4">
        <f t="shared" si="9"/>
        <v>54.3375</v>
      </c>
      <c r="U76" s="2" t="s">
        <v>26</v>
      </c>
    </row>
    <row r="77" ht="15.75" customHeight="1">
      <c r="A77" s="2" t="s">
        <v>260</v>
      </c>
      <c r="B77" s="2" t="s">
        <v>261</v>
      </c>
      <c r="C77" s="2" t="s">
        <v>262</v>
      </c>
      <c r="D77" s="2" t="s">
        <v>36</v>
      </c>
      <c r="E77" s="2" t="s">
        <v>127</v>
      </c>
      <c r="F77" s="3">
        <v>1200.0</v>
      </c>
      <c r="G77" s="4">
        <v>18900.0</v>
      </c>
      <c r="H77" s="4">
        <v>19845.0</v>
      </c>
      <c r="I77" s="5">
        <f t="shared" si="2"/>
        <v>15.75</v>
      </c>
      <c r="J77" s="4">
        <v>0.0</v>
      </c>
      <c r="K77" s="4">
        <v>0.0</v>
      </c>
      <c r="L77" s="5">
        <f t="shared" si="3"/>
        <v>0</v>
      </c>
      <c r="M77" s="5">
        <f t="shared" ref="M77:N77" si="83">G77+J77</f>
        <v>18900</v>
      </c>
      <c r="N77" s="5">
        <f t="shared" si="83"/>
        <v>19845</v>
      </c>
      <c r="O77" s="6">
        <f t="shared" si="5"/>
        <v>15.75</v>
      </c>
      <c r="P77" s="5">
        <f t="shared" si="6"/>
        <v>16.5375</v>
      </c>
      <c r="Q77" s="4">
        <v>132.33</v>
      </c>
      <c r="R77" s="4">
        <f t="shared" si="7"/>
        <v>17.364375</v>
      </c>
      <c r="S77" s="4">
        <f t="shared" si="8"/>
        <v>18.19125</v>
      </c>
      <c r="T77" s="4">
        <f t="shared" si="9"/>
        <v>19.018125</v>
      </c>
      <c r="U77" s="2" t="s">
        <v>85</v>
      </c>
    </row>
    <row r="78" ht="15.75" customHeight="1"/>
    <row r="79" ht="15.75" customHeight="1">
      <c r="A79" s="7" t="s">
        <v>263</v>
      </c>
      <c r="F79" s="8">
        <f t="shared" ref="F79:H79" si="84">SUM(F2:F77)</f>
        <v>680074</v>
      </c>
      <c r="G79" s="9">
        <f t="shared" si="84"/>
        <v>8416449.33</v>
      </c>
      <c r="H79" s="9">
        <f t="shared" si="84"/>
        <v>8837271.8</v>
      </c>
      <c r="J79" s="9">
        <f t="shared" ref="J79:K79" si="85">SUM(J2:J77)</f>
        <v>-128225.27</v>
      </c>
      <c r="K79" s="9">
        <f t="shared" si="85"/>
        <v>-134636.52</v>
      </c>
      <c r="M79" s="9">
        <f t="shared" ref="M79:N79" si="86">SUM(M2:M77)</f>
        <v>8288224.06</v>
      </c>
      <c r="N79" s="9">
        <f t="shared" si="86"/>
        <v>8702635.28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U$77"/>
  <printOptions/>
  <pageMargins bottom="1.0" footer="0.0" header="0.0" left="0.75" right="0.75" top="1.0"/>
  <pageSetup paperSize="9" orientation="portrait"/>
  <drawing r:id="rId1"/>
</worksheet>
</file>