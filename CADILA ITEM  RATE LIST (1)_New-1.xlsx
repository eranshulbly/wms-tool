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filterPrivacy="1" defaultThemeVersion="124226"/>
  <xr:revisionPtr revIDLastSave="0" documentId="8_{D024BDBF-3717-4F61-9C35-A0E667D8F70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8" i="1" l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7" i="1"/>
  <c r="M272" i="1"/>
  <c r="R272" i="1" s="1"/>
  <c r="Y272" i="1" s="1"/>
  <c r="H272" i="1"/>
  <c r="M271" i="1"/>
  <c r="R271" i="1" s="1"/>
  <c r="Y271" i="1" s="1"/>
  <c r="H271" i="1"/>
  <c r="Y270" i="1"/>
  <c r="M269" i="1"/>
  <c r="R269" i="1" s="1"/>
  <c r="Y269" i="1" s="1"/>
  <c r="H269" i="1"/>
  <c r="M268" i="1"/>
  <c r="R268" i="1" s="1"/>
  <c r="Y268" i="1" s="1"/>
  <c r="H268" i="1"/>
  <c r="M267" i="1"/>
  <c r="R267" i="1" s="1"/>
  <c r="Y267" i="1" s="1"/>
  <c r="H267" i="1"/>
  <c r="M266" i="1"/>
  <c r="R266" i="1" s="1"/>
  <c r="Y266" i="1" s="1"/>
  <c r="H266" i="1"/>
  <c r="M265" i="1"/>
  <c r="R265" i="1" s="1"/>
  <c r="Y265" i="1" s="1"/>
  <c r="H265" i="1"/>
  <c r="M264" i="1"/>
  <c r="R264" i="1" s="1"/>
  <c r="Y264" i="1" s="1"/>
  <c r="H264" i="1"/>
  <c r="M263" i="1"/>
  <c r="R263" i="1" s="1"/>
  <c r="Y263" i="1" s="1"/>
  <c r="H263" i="1"/>
  <c r="M262" i="1"/>
  <c r="R262" i="1" s="1"/>
  <c r="Y262" i="1" s="1"/>
  <c r="H262" i="1"/>
  <c r="M261" i="1"/>
  <c r="R261" i="1" s="1"/>
  <c r="Y261" i="1" s="1"/>
  <c r="H261" i="1"/>
  <c r="M260" i="1"/>
  <c r="R260" i="1" s="1"/>
  <c r="Y260" i="1" s="1"/>
  <c r="H260" i="1"/>
  <c r="M259" i="1"/>
  <c r="R259" i="1" s="1"/>
  <c r="Y259" i="1" s="1"/>
  <c r="H259" i="1"/>
  <c r="M258" i="1"/>
  <c r="R258" i="1" s="1"/>
  <c r="Y258" i="1" s="1"/>
  <c r="H258" i="1"/>
  <c r="M257" i="1"/>
  <c r="R257" i="1" s="1"/>
  <c r="Y257" i="1" s="1"/>
  <c r="H257" i="1"/>
  <c r="M256" i="1"/>
  <c r="R256" i="1" s="1"/>
  <c r="Y256" i="1" s="1"/>
  <c r="H256" i="1"/>
  <c r="M255" i="1"/>
  <c r="R255" i="1" s="1"/>
  <c r="Y255" i="1" s="1"/>
  <c r="H255" i="1"/>
  <c r="M254" i="1"/>
  <c r="R254" i="1" s="1"/>
  <c r="Y254" i="1" s="1"/>
  <c r="H254" i="1"/>
  <c r="M253" i="1"/>
  <c r="R253" i="1" s="1"/>
  <c r="Y253" i="1" s="1"/>
  <c r="H253" i="1"/>
  <c r="M252" i="1"/>
  <c r="R252" i="1" s="1"/>
  <c r="Y252" i="1" s="1"/>
  <c r="H252" i="1"/>
  <c r="M251" i="1"/>
  <c r="R251" i="1" s="1"/>
  <c r="Y251" i="1" s="1"/>
  <c r="H251" i="1"/>
  <c r="M250" i="1"/>
  <c r="R250" i="1" s="1"/>
  <c r="Y250" i="1" s="1"/>
  <c r="H250" i="1"/>
  <c r="M249" i="1"/>
  <c r="R249" i="1" s="1"/>
  <c r="Y249" i="1" s="1"/>
  <c r="H249" i="1"/>
  <c r="M248" i="1"/>
  <c r="R248" i="1" s="1"/>
  <c r="Y248" i="1" s="1"/>
  <c r="H248" i="1"/>
  <c r="M247" i="1"/>
  <c r="R247" i="1" s="1"/>
  <c r="Y247" i="1" s="1"/>
  <c r="H247" i="1"/>
  <c r="Y246" i="1"/>
  <c r="M245" i="1"/>
  <c r="R245" i="1" s="1"/>
  <c r="Y245" i="1" s="1"/>
  <c r="H245" i="1"/>
  <c r="M244" i="1"/>
  <c r="R244" i="1" s="1"/>
  <c r="Y244" i="1" s="1"/>
  <c r="H244" i="1"/>
  <c r="M243" i="1"/>
  <c r="R243" i="1" s="1"/>
  <c r="Y243" i="1" s="1"/>
  <c r="H243" i="1"/>
  <c r="M242" i="1"/>
  <c r="R242" i="1" s="1"/>
  <c r="Y242" i="1" s="1"/>
  <c r="H242" i="1"/>
  <c r="M241" i="1"/>
  <c r="R241" i="1" s="1"/>
  <c r="Y241" i="1" s="1"/>
  <c r="H241" i="1"/>
  <c r="M240" i="1"/>
  <c r="R240" i="1" s="1"/>
  <c r="Y240" i="1" s="1"/>
  <c r="H240" i="1"/>
  <c r="M239" i="1"/>
  <c r="R239" i="1" s="1"/>
  <c r="Y239" i="1" s="1"/>
  <c r="H239" i="1"/>
  <c r="M238" i="1"/>
  <c r="R238" i="1" s="1"/>
  <c r="Y238" i="1" s="1"/>
  <c r="H238" i="1"/>
  <c r="M237" i="1"/>
  <c r="R237" i="1" s="1"/>
  <c r="Y237" i="1" s="1"/>
  <c r="H237" i="1"/>
  <c r="M236" i="1"/>
  <c r="R236" i="1" s="1"/>
  <c r="Y236" i="1" s="1"/>
  <c r="H236" i="1"/>
  <c r="M235" i="1"/>
  <c r="R235" i="1" s="1"/>
  <c r="Y235" i="1" s="1"/>
  <c r="H235" i="1"/>
  <c r="M234" i="1"/>
  <c r="R234" i="1" s="1"/>
  <c r="Y234" i="1" s="1"/>
  <c r="H234" i="1"/>
  <c r="M233" i="1"/>
  <c r="R233" i="1" s="1"/>
  <c r="Y233" i="1" s="1"/>
  <c r="H233" i="1"/>
  <c r="M232" i="1"/>
  <c r="R232" i="1" s="1"/>
  <c r="Y232" i="1" s="1"/>
  <c r="H232" i="1"/>
  <c r="M231" i="1"/>
  <c r="R231" i="1" s="1"/>
  <c r="Y231" i="1" s="1"/>
  <c r="H231" i="1"/>
  <c r="M230" i="1"/>
  <c r="R230" i="1" s="1"/>
  <c r="Y230" i="1" s="1"/>
  <c r="H230" i="1"/>
  <c r="M229" i="1"/>
  <c r="R229" i="1" s="1"/>
  <c r="Y229" i="1" s="1"/>
  <c r="H229" i="1"/>
  <c r="M228" i="1"/>
  <c r="R228" i="1" s="1"/>
  <c r="Y228" i="1" s="1"/>
  <c r="H228" i="1"/>
  <c r="M227" i="1"/>
  <c r="R227" i="1" s="1"/>
  <c r="Y227" i="1" s="1"/>
  <c r="H227" i="1"/>
  <c r="M226" i="1"/>
  <c r="R226" i="1" s="1"/>
  <c r="Y226" i="1" s="1"/>
  <c r="H226" i="1"/>
  <c r="M225" i="1"/>
  <c r="R225" i="1" s="1"/>
  <c r="Y225" i="1" s="1"/>
  <c r="H225" i="1"/>
  <c r="M224" i="1"/>
  <c r="R224" i="1" s="1"/>
  <c r="Y224" i="1" s="1"/>
  <c r="H224" i="1"/>
  <c r="M223" i="1"/>
  <c r="R223" i="1" s="1"/>
  <c r="Y223" i="1" s="1"/>
  <c r="Y222" i="1"/>
  <c r="H222" i="1"/>
  <c r="M221" i="1"/>
  <c r="R221" i="1" s="1"/>
  <c r="Y221" i="1" s="1"/>
  <c r="H221" i="1"/>
  <c r="M220" i="1"/>
  <c r="R220" i="1" s="1"/>
  <c r="Y220" i="1" s="1"/>
  <c r="H220" i="1"/>
  <c r="M219" i="1"/>
  <c r="R219" i="1" s="1"/>
  <c r="Y219" i="1" s="1"/>
  <c r="H219" i="1"/>
  <c r="M218" i="1"/>
  <c r="R218" i="1" s="1"/>
  <c r="Y218" i="1" s="1"/>
  <c r="H218" i="1"/>
  <c r="M217" i="1"/>
  <c r="R217" i="1" s="1"/>
  <c r="Y217" i="1" s="1"/>
  <c r="H217" i="1"/>
  <c r="M216" i="1"/>
  <c r="R216" i="1" s="1"/>
  <c r="Y216" i="1" s="1"/>
  <c r="H216" i="1"/>
  <c r="M215" i="1"/>
  <c r="R215" i="1" s="1"/>
  <c r="Y215" i="1" s="1"/>
  <c r="H215" i="1"/>
  <c r="M214" i="1"/>
  <c r="R214" i="1" s="1"/>
  <c r="Y214" i="1" s="1"/>
  <c r="H214" i="1"/>
  <c r="M213" i="1"/>
  <c r="R213" i="1" s="1"/>
  <c r="Y213" i="1" s="1"/>
  <c r="H213" i="1"/>
  <c r="M212" i="1"/>
  <c r="R212" i="1" s="1"/>
  <c r="Y212" i="1" s="1"/>
  <c r="H212" i="1"/>
  <c r="M211" i="1"/>
  <c r="R211" i="1" s="1"/>
  <c r="Y211" i="1" s="1"/>
  <c r="H211" i="1"/>
  <c r="M210" i="1"/>
  <c r="R210" i="1" s="1"/>
  <c r="Y210" i="1" s="1"/>
  <c r="H210" i="1"/>
  <c r="M209" i="1"/>
  <c r="R209" i="1" s="1"/>
  <c r="Y209" i="1" s="1"/>
  <c r="H209" i="1"/>
  <c r="M208" i="1"/>
  <c r="R208" i="1" s="1"/>
  <c r="Y208" i="1" s="1"/>
  <c r="H208" i="1"/>
  <c r="M207" i="1"/>
  <c r="R207" i="1" s="1"/>
  <c r="Y207" i="1" s="1"/>
  <c r="H207" i="1"/>
  <c r="M206" i="1"/>
  <c r="R206" i="1" s="1"/>
  <c r="Y206" i="1" s="1"/>
  <c r="H206" i="1"/>
  <c r="M205" i="1"/>
  <c r="R205" i="1" s="1"/>
  <c r="Y205" i="1" s="1"/>
  <c r="H205" i="1"/>
  <c r="M204" i="1"/>
  <c r="R204" i="1" s="1"/>
  <c r="Y204" i="1" s="1"/>
  <c r="H204" i="1"/>
  <c r="M203" i="1"/>
  <c r="R203" i="1" s="1"/>
  <c r="Y203" i="1" s="1"/>
  <c r="H203" i="1"/>
  <c r="M202" i="1"/>
  <c r="R202" i="1" s="1"/>
  <c r="Y202" i="1" s="1"/>
  <c r="H202" i="1"/>
  <c r="M201" i="1"/>
  <c r="R201" i="1" s="1"/>
  <c r="Y201" i="1" s="1"/>
  <c r="H201" i="1"/>
  <c r="M200" i="1"/>
  <c r="R200" i="1" s="1"/>
  <c r="Y200" i="1" s="1"/>
  <c r="H200" i="1"/>
  <c r="M199" i="1"/>
  <c r="R199" i="1" s="1"/>
  <c r="Y199" i="1" s="1"/>
  <c r="H199" i="1"/>
  <c r="M198" i="1"/>
  <c r="R198" i="1" s="1"/>
  <c r="Y198" i="1" s="1"/>
  <c r="H198" i="1"/>
  <c r="M197" i="1"/>
  <c r="R197" i="1" s="1"/>
  <c r="Y197" i="1" s="1"/>
  <c r="H197" i="1"/>
  <c r="M196" i="1"/>
  <c r="R196" i="1" s="1"/>
  <c r="Y196" i="1" s="1"/>
  <c r="H196" i="1"/>
  <c r="M195" i="1"/>
  <c r="R195" i="1" s="1"/>
  <c r="Y195" i="1" s="1"/>
  <c r="H195" i="1"/>
  <c r="M194" i="1"/>
  <c r="R194" i="1" s="1"/>
  <c r="Y194" i="1" s="1"/>
  <c r="H194" i="1"/>
  <c r="M193" i="1"/>
  <c r="R193" i="1" s="1"/>
  <c r="Y193" i="1" s="1"/>
  <c r="H193" i="1"/>
  <c r="M192" i="1"/>
  <c r="R192" i="1" s="1"/>
  <c r="Y192" i="1" s="1"/>
  <c r="H192" i="1"/>
  <c r="M191" i="1"/>
  <c r="R191" i="1" s="1"/>
  <c r="Y191" i="1" s="1"/>
  <c r="H191" i="1"/>
  <c r="M190" i="1"/>
  <c r="R190" i="1" s="1"/>
  <c r="Y190" i="1" s="1"/>
  <c r="H190" i="1"/>
  <c r="M189" i="1"/>
  <c r="R189" i="1" s="1"/>
  <c r="Y189" i="1" s="1"/>
  <c r="H189" i="1"/>
  <c r="M188" i="1"/>
  <c r="R188" i="1" s="1"/>
  <c r="Y188" i="1" s="1"/>
  <c r="H188" i="1"/>
  <c r="M187" i="1"/>
  <c r="R187" i="1" s="1"/>
  <c r="Y187" i="1" s="1"/>
  <c r="H187" i="1"/>
  <c r="M186" i="1"/>
  <c r="R186" i="1" s="1"/>
  <c r="Y186" i="1" s="1"/>
  <c r="H186" i="1"/>
  <c r="M185" i="1"/>
  <c r="R185" i="1" s="1"/>
  <c r="Y185" i="1" s="1"/>
  <c r="H185" i="1"/>
  <c r="M184" i="1"/>
  <c r="R184" i="1" s="1"/>
  <c r="Y184" i="1" s="1"/>
  <c r="H184" i="1"/>
  <c r="M183" i="1"/>
  <c r="R183" i="1" s="1"/>
  <c r="Y183" i="1" s="1"/>
  <c r="H183" i="1"/>
  <c r="M182" i="1"/>
  <c r="R182" i="1" s="1"/>
  <c r="Y182" i="1" s="1"/>
  <c r="H182" i="1"/>
  <c r="M181" i="1"/>
  <c r="R181" i="1" s="1"/>
  <c r="Y181" i="1" s="1"/>
  <c r="H181" i="1"/>
  <c r="M180" i="1"/>
  <c r="R180" i="1" s="1"/>
  <c r="Y180" i="1" s="1"/>
  <c r="H180" i="1"/>
  <c r="M179" i="1"/>
  <c r="R179" i="1" s="1"/>
  <c r="Y179" i="1" s="1"/>
  <c r="H179" i="1"/>
  <c r="M178" i="1"/>
  <c r="R178" i="1" s="1"/>
  <c r="Y178" i="1" s="1"/>
  <c r="H178" i="1"/>
  <c r="M177" i="1"/>
  <c r="R177" i="1" s="1"/>
  <c r="Y177" i="1" s="1"/>
  <c r="H177" i="1"/>
  <c r="M176" i="1"/>
  <c r="R176" i="1" s="1"/>
  <c r="Y176" i="1" s="1"/>
  <c r="H176" i="1"/>
  <c r="M175" i="1"/>
  <c r="R175" i="1" s="1"/>
  <c r="Y175" i="1" s="1"/>
  <c r="H175" i="1"/>
  <c r="M174" i="1"/>
  <c r="R174" i="1" s="1"/>
  <c r="Y174" i="1" s="1"/>
  <c r="H174" i="1"/>
  <c r="M173" i="1"/>
  <c r="R173" i="1" s="1"/>
  <c r="Y173" i="1" s="1"/>
  <c r="H173" i="1"/>
  <c r="M172" i="1"/>
  <c r="R172" i="1" s="1"/>
  <c r="Y172" i="1" s="1"/>
  <c r="H172" i="1"/>
  <c r="M171" i="1"/>
  <c r="R171" i="1" s="1"/>
  <c r="Y171" i="1" s="1"/>
  <c r="H171" i="1"/>
  <c r="M170" i="1"/>
  <c r="R170" i="1" s="1"/>
  <c r="Y170" i="1" s="1"/>
  <c r="H170" i="1"/>
  <c r="M169" i="1"/>
  <c r="R169" i="1" s="1"/>
  <c r="Y169" i="1" s="1"/>
  <c r="H169" i="1"/>
  <c r="M168" i="1"/>
  <c r="R168" i="1" s="1"/>
  <c r="Y168" i="1" s="1"/>
  <c r="H168" i="1"/>
  <c r="M167" i="1"/>
  <c r="R167" i="1" s="1"/>
  <c r="Y167" i="1" s="1"/>
  <c r="H167" i="1"/>
  <c r="M166" i="1"/>
  <c r="R166" i="1" s="1"/>
  <c r="Y166" i="1" s="1"/>
  <c r="H166" i="1"/>
  <c r="M165" i="1"/>
  <c r="R165" i="1" s="1"/>
  <c r="Y165" i="1" s="1"/>
  <c r="H165" i="1"/>
  <c r="M164" i="1"/>
  <c r="R164" i="1" s="1"/>
  <c r="Y164" i="1" s="1"/>
  <c r="H164" i="1"/>
  <c r="M163" i="1"/>
  <c r="R163" i="1" s="1"/>
  <c r="Y163" i="1" s="1"/>
  <c r="H163" i="1"/>
  <c r="M162" i="1"/>
  <c r="R162" i="1" s="1"/>
  <c r="Y162" i="1" s="1"/>
  <c r="H162" i="1"/>
  <c r="M161" i="1"/>
  <c r="R161" i="1" s="1"/>
  <c r="Y161" i="1" s="1"/>
  <c r="H161" i="1"/>
  <c r="M160" i="1"/>
  <c r="R160" i="1" s="1"/>
  <c r="Y160" i="1" s="1"/>
  <c r="H160" i="1"/>
  <c r="M159" i="1"/>
  <c r="R159" i="1" s="1"/>
  <c r="Y159" i="1" s="1"/>
  <c r="H159" i="1"/>
  <c r="M158" i="1"/>
  <c r="R158" i="1" s="1"/>
  <c r="Y158" i="1" s="1"/>
  <c r="H158" i="1"/>
  <c r="M157" i="1"/>
  <c r="R157" i="1" s="1"/>
  <c r="Y157" i="1" s="1"/>
  <c r="H157" i="1"/>
  <c r="M156" i="1"/>
  <c r="R156" i="1" s="1"/>
  <c r="Y156" i="1" s="1"/>
  <c r="H156" i="1"/>
  <c r="M155" i="1"/>
  <c r="R155" i="1" s="1"/>
  <c r="Y155" i="1" s="1"/>
  <c r="H155" i="1"/>
  <c r="M154" i="1"/>
  <c r="R154" i="1" s="1"/>
  <c r="Y154" i="1" s="1"/>
  <c r="H154" i="1"/>
  <c r="M153" i="1"/>
  <c r="R153" i="1" s="1"/>
  <c r="Y153" i="1" s="1"/>
  <c r="H153" i="1"/>
  <c r="M152" i="1"/>
  <c r="R152" i="1" s="1"/>
  <c r="Y152" i="1" s="1"/>
  <c r="H152" i="1"/>
  <c r="M151" i="1"/>
  <c r="R151" i="1" s="1"/>
  <c r="Y151" i="1" s="1"/>
  <c r="H151" i="1"/>
  <c r="M150" i="1"/>
  <c r="R150" i="1" s="1"/>
  <c r="Y150" i="1" s="1"/>
  <c r="H150" i="1"/>
  <c r="M149" i="1"/>
  <c r="R149" i="1" s="1"/>
  <c r="Y149" i="1" s="1"/>
  <c r="H149" i="1"/>
  <c r="M148" i="1"/>
  <c r="R148" i="1" s="1"/>
  <c r="Y148" i="1" s="1"/>
  <c r="H148" i="1"/>
  <c r="M147" i="1"/>
  <c r="R147" i="1" s="1"/>
  <c r="Y147" i="1" s="1"/>
  <c r="H147" i="1"/>
  <c r="M146" i="1"/>
  <c r="R146" i="1" s="1"/>
  <c r="Y146" i="1" s="1"/>
  <c r="H146" i="1"/>
  <c r="M145" i="1"/>
  <c r="R145" i="1" s="1"/>
  <c r="Y145" i="1" s="1"/>
  <c r="H145" i="1"/>
  <c r="M144" i="1"/>
  <c r="R144" i="1" s="1"/>
  <c r="Y144" i="1" s="1"/>
  <c r="H144" i="1"/>
  <c r="M143" i="1"/>
  <c r="R143" i="1" s="1"/>
  <c r="Y143" i="1" s="1"/>
  <c r="H143" i="1"/>
  <c r="M142" i="1"/>
  <c r="R142" i="1" s="1"/>
  <c r="Y142" i="1" s="1"/>
  <c r="H142" i="1"/>
  <c r="M141" i="1"/>
  <c r="R141" i="1" s="1"/>
  <c r="Y141" i="1" s="1"/>
  <c r="H141" i="1"/>
  <c r="M140" i="1"/>
  <c r="R140" i="1" s="1"/>
  <c r="Y140" i="1" s="1"/>
  <c r="H140" i="1"/>
  <c r="M139" i="1"/>
  <c r="R139" i="1" s="1"/>
  <c r="Y139" i="1" s="1"/>
  <c r="H139" i="1"/>
  <c r="M138" i="1"/>
  <c r="R138" i="1" s="1"/>
  <c r="Y138" i="1" s="1"/>
  <c r="H138" i="1"/>
  <c r="M137" i="1"/>
  <c r="R137" i="1" s="1"/>
  <c r="Y137" i="1" s="1"/>
  <c r="H137" i="1"/>
  <c r="M136" i="1"/>
  <c r="R136" i="1" s="1"/>
  <c r="Y136" i="1" s="1"/>
  <c r="H136" i="1"/>
  <c r="M135" i="1"/>
  <c r="R135" i="1" s="1"/>
  <c r="Y135" i="1" s="1"/>
  <c r="H135" i="1"/>
  <c r="M134" i="1"/>
  <c r="R134" i="1" s="1"/>
  <c r="Y134" i="1" s="1"/>
  <c r="H134" i="1"/>
  <c r="M133" i="1"/>
  <c r="R133" i="1" s="1"/>
  <c r="Y133" i="1" s="1"/>
  <c r="H133" i="1"/>
  <c r="M132" i="1"/>
  <c r="R132" i="1" s="1"/>
  <c r="Y132" i="1" s="1"/>
  <c r="H132" i="1"/>
  <c r="M131" i="1"/>
  <c r="R131" i="1" s="1"/>
  <c r="Y131" i="1" s="1"/>
  <c r="H131" i="1"/>
  <c r="M130" i="1"/>
  <c r="R130" i="1" s="1"/>
  <c r="Y130" i="1" s="1"/>
  <c r="H130" i="1"/>
  <c r="M129" i="1"/>
  <c r="R129" i="1" s="1"/>
  <c r="Y129" i="1" s="1"/>
  <c r="H129" i="1"/>
  <c r="M128" i="1"/>
  <c r="R128" i="1" s="1"/>
  <c r="Y128" i="1" s="1"/>
  <c r="H128" i="1"/>
  <c r="M127" i="1"/>
  <c r="R127" i="1" s="1"/>
  <c r="Y127" i="1" s="1"/>
  <c r="H127" i="1"/>
  <c r="M126" i="1"/>
  <c r="R126" i="1" s="1"/>
  <c r="Y126" i="1" s="1"/>
  <c r="H126" i="1"/>
  <c r="M125" i="1"/>
  <c r="R125" i="1" s="1"/>
  <c r="Y125" i="1" s="1"/>
  <c r="H125" i="1"/>
  <c r="M124" i="1"/>
  <c r="R124" i="1" s="1"/>
  <c r="Y124" i="1" s="1"/>
  <c r="H124" i="1"/>
  <c r="M123" i="1"/>
  <c r="R123" i="1" s="1"/>
  <c r="Y123" i="1" s="1"/>
  <c r="H123" i="1"/>
  <c r="M122" i="1"/>
  <c r="R122" i="1" s="1"/>
  <c r="Y122" i="1" s="1"/>
  <c r="H122" i="1"/>
  <c r="M121" i="1"/>
  <c r="R121" i="1" s="1"/>
  <c r="Y121" i="1" s="1"/>
  <c r="H121" i="1"/>
  <c r="M120" i="1"/>
  <c r="R120" i="1" s="1"/>
  <c r="Y120" i="1" s="1"/>
  <c r="H120" i="1"/>
  <c r="M119" i="1"/>
  <c r="R119" i="1" s="1"/>
  <c r="Y119" i="1" s="1"/>
  <c r="H119" i="1"/>
  <c r="M118" i="1"/>
  <c r="R118" i="1" s="1"/>
  <c r="Y118" i="1" s="1"/>
  <c r="H118" i="1"/>
  <c r="M117" i="1"/>
  <c r="R117" i="1" s="1"/>
  <c r="Y117" i="1" s="1"/>
  <c r="H117" i="1"/>
  <c r="M116" i="1"/>
  <c r="R116" i="1" s="1"/>
  <c r="Y116" i="1" s="1"/>
  <c r="H116" i="1"/>
  <c r="M115" i="1"/>
  <c r="R115" i="1" s="1"/>
  <c r="Y115" i="1" s="1"/>
  <c r="H115" i="1"/>
  <c r="M114" i="1"/>
  <c r="R114" i="1" s="1"/>
  <c r="Y114" i="1" s="1"/>
  <c r="H114" i="1"/>
  <c r="M113" i="1"/>
  <c r="R113" i="1" s="1"/>
  <c r="Y113" i="1" s="1"/>
  <c r="H113" i="1"/>
  <c r="Y112" i="1"/>
  <c r="M111" i="1"/>
  <c r="R111" i="1" s="1"/>
  <c r="Y111" i="1" s="1"/>
  <c r="H111" i="1"/>
  <c r="M110" i="1"/>
  <c r="R110" i="1" s="1"/>
  <c r="Y110" i="1" s="1"/>
  <c r="H110" i="1"/>
  <c r="M109" i="1"/>
  <c r="R109" i="1" s="1"/>
  <c r="Y109" i="1" s="1"/>
  <c r="H109" i="1"/>
  <c r="M108" i="1"/>
  <c r="R108" i="1" s="1"/>
  <c r="Y108" i="1" s="1"/>
  <c r="H108" i="1"/>
  <c r="M107" i="1"/>
  <c r="R107" i="1" s="1"/>
  <c r="Y107" i="1" s="1"/>
  <c r="H107" i="1"/>
  <c r="M106" i="1"/>
  <c r="R106" i="1" s="1"/>
  <c r="Y106" i="1" s="1"/>
  <c r="H106" i="1"/>
  <c r="M105" i="1"/>
  <c r="R105" i="1" s="1"/>
  <c r="Y105" i="1" s="1"/>
  <c r="H105" i="1"/>
  <c r="M104" i="1"/>
  <c r="R104" i="1" s="1"/>
  <c r="Y104" i="1" s="1"/>
  <c r="H104" i="1"/>
  <c r="M103" i="1"/>
  <c r="R103" i="1" s="1"/>
  <c r="Y103" i="1" s="1"/>
  <c r="H103" i="1"/>
  <c r="M102" i="1"/>
  <c r="R102" i="1" s="1"/>
  <c r="Y102" i="1" s="1"/>
  <c r="H102" i="1"/>
  <c r="M101" i="1"/>
  <c r="R101" i="1" s="1"/>
  <c r="Y101" i="1" s="1"/>
  <c r="H101" i="1"/>
  <c r="M100" i="1"/>
  <c r="R100" i="1" s="1"/>
  <c r="Y100" i="1" s="1"/>
  <c r="H100" i="1"/>
  <c r="M99" i="1"/>
  <c r="R99" i="1" s="1"/>
  <c r="Y99" i="1" s="1"/>
  <c r="H99" i="1"/>
  <c r="M98" i="1"/>
  <c r="R98" i="1" s="1"/>
  <c r="Y98" i="1" s="1"/>
  <c r="H98" i="1"/>
  <c r="M97" i="1"/>
  <c r="R97" i="1" s="1"/>
  <c r="Y97" i="1" s="1"/>
  <c r="H97" i="1"/>
  <c r="M96" i="1"/>
  <c r="R96" i="1" s="1"/>
  <c r="Y96" i="1" s="1"/>
  <c r="H96" i="1"/>
  <c r="M95" i="1"/>
  <c r="R95" i="1" s="1"/>
  <c r="Y95" i="1" s="1"/>
  <c r="H95" i="1"/>
  <c r="M94" i="1"/>
  <c r="R94" i="1" s="1"/>
  <c r="Y94" i="1" s="1"/>
  <c r="H94" i="1"/>
  <c r="M93" i="1"/>
  <c r="R93" i="1" s="1"/>
  <c r="Y93" i="1" s="1"/>
  <c r="H93" i="1"/>
  <c r="M92" i="1"/>
  <c r="R92" i="1" s="1"/>
  <c r="Y92" i="1" s="1"/>
  <c r="H92" i="1"/>
  <c r="M91" i="1"/>
  <c r="R91" i="1" s="1"/>
  <c r="Y91" i="1" s="1"/>
  <c r="H91" i="1"/>
  <c r="M90" i="1"/>
  <c r="R90" i="1" s="1"/>
  <c r="Y90" i="1" s="1"/>
  <c r="H90" i="1"/>
  <c r="M89" i="1"/>
  <c r="R89" i="1" s="1"/>
  <c r="Y89" i="1" s="1"/>
  <c r="H89" i="1"/>
  <c r="M88" i="1"/>
  <c r="R88" i="1" s="1"/>
  <c r="Y88" i="1" s="1"/>
  <c r="H88" i="1"/>
  <c r="M87" i="1"/>
  <c r="R87" i="1" s="1"/>
  <c r="Y87" i="1" s="1"/>
  <c r="H87" i="1"/>
  <c r="M86" i="1"/>
  <c r="R86" i="1" s="1"/>
  <c r="Y86" i="1" s="1"/>
  <c r="H86" i="1"/>
  <c r="M85" i="1"/>
  <c r="R85" i="1" s="1"/>
  <c r="Y85" i="1" s="1"/>
  <c r="H85" i="1"/>
  <c r="M84" i="1"/>
  <c r="R84" i="1" s="1"/>
  <c r="Y84" i="1" s="1"/>
  <c r="H84" i="1"/>
  <c r="M83" i="1"/>
  <c r="R83" i="1" s="1"/>
  <c r="Y83" i="1" s="1"/>
  <c r="H83" i="1"/>
  <c r="M82" i="1"/>
  <c r="R82" i="1" s="1"/>
  <c r="Y82" i="1" s="1"/>
  <c r="H82" i="1"/>
  <c r="M81" i="1"/>
  <c r="R81" i="1" s="1"/>
  <c r="Y81" i="1" s="1"/>
  <c r="H81" i="1"/>
  <c r="M80" i="1"/>
  <c r="R80" i="1" s="1"/>
  <c r="Y80" i="1" s="1"/>
  <c r="H80" i="1"/>
  <c r="M79" i="1"/>
  <c r="R79" i="1" s="1"/>
  <c r="Y79" i="1" s="1"/>
  <c r="H79" i="1"/>
  <c r="M78" i="1"/>
  <c r="R78" i="1" s="1"/>
  <c r="Y78" i="1" s="1"/>
  <c r="H78" i="1"/>
  <c r="M77" i="1"/>
  <c r="R77" i="1" s="1"/>
  <c r="Y77" i="1" s="1"/>
  <c r="H77" i="1"/>
  <c r="M76" i="1"/>
  <c r="R76" i="1" s="1"/>
  <c r="Y76" i="1" s="1"/>
  <c r="H76" i="1"/>
  <c r="M75" i="1"/>
  <c r="R75" i="1" s="1"/>
  <c r="Y75" i="1" s="1"/>
  <c r="H75" i="1"/>
  <c r="M74" i="1"/>
  <c r="R74" i="1" s="1"/>
  <c r="Y74" i="1" s="1"/>
  <c r="H74" i="1"/>
  <c r="M73" i="1"/>
  <c r="R73" i="1" s="1"/>
  <c r="Y73" i="1" s="1"/>
  <c r="H73" i="1"/>
  <c r="M72" i="1"/>
  <c r="R72" i="1" s="1"/>
  <c r="Y72" i="1" s="1"/>
  <c r="H72" i="1"/>
  <c r="M71" i="1"/>
  <c r="R71" i="1" s="1"/>
  <c r="Y71" i="1" s="1"/>
  <c r="H71" i="1"/>
  <c r="M70" i="1"/>
  <c r="R70" i="1" s="1"/>
  <c r="Y70" i="1" s="1"/>
  <c r="H70" i="1"/>
  <c r="M69" i="1"/>
  <c r="R69" i="1" s="1"/>
  <c r="Y69" i="1" s="1"/>
  <c r="H69" i="1"/>
  <c r="M68" i="1"/>
  <c r="R68" i="1" s="1"/>
  <c r="Y68" i="1" s="1"/>
  <c r="H68" i="1"/>
  <c r="M67" i="1"/>
  <c r="R67" i="1" s="1"/>
  <c r="M66" i="1"/>
  <c r="R66" i="1" s="1"/>
  <c r="Y66" i="1" s="1"/>
  <c r="H66" i="1"/>
  <c r="M65" i="1"/>
  <c r="R65" i="1" s="1"/>
  <c r="Y65" i="1" s="1"/>
  <c r="H65" i="1"/>
  <c r="M64" i="1"/>
  <c r="R64" i="1" s="1"/>
  <c r="Y64" i="1" s="1"/>
  <c r="H64" i="1"/>
  <c r="M63" i="1"/>
  <c r="R63" i="1" s="1"/>
  <c r="Y63" i="1" s="1"/>
  <c r="H63" i="1"/>
  <c r="M62" i="1"/>
  <c r="R62" i="1" s="1"/>
  <c r="Y62" i="1" s="1"/>
  <c r="H62" i="1"/>
  <c r="M61" i="1"/>
  <c r="R61" i="1" s="1"/>
  <c r="Y61" i="1" s="1"/>
  <c r="H61" i="1"/>
  <c r="M60" i="1"/>
  <c r="R60" i="1" s="1"/>
  <c r="Y60" i="1" s="1"/>
  <c r="H60" i="1"/>
  <c r="M59" i="1"/>
  <c r="R59" i="1" s="1"/>
  <c r="Y59" i="1" s="1"/>
  <c r="H59" i="1"/>
  <c r="M58" i="1"/>
  <c r="R58" i="1" s="1"/>
  <c r="Y58" i="1" s="1"/>
  <c r="H58" i="1"/>
  <c r="M57" i="1"/>
  <c r="R57" i="1" s="1"/>
  <c r="Y57" i="1" s="1"/>
  <c r="H57" i="1"/>
  <c r="M56" i="1"/>
  <c r="R56" i="1" s="1"/>
  <c r="Y56" i="1" s="1"/>
  <c r="H56" i="1"/>
  <c r="M55" i="1"/>
  <c r="R55" i="1" s="1"/>
  <c r="Y55" i="1" s="1"/>
  <c r="H55" i="1"/>
  <c r="M54" i="1"/>
  <c r="R54" i="1" s="1"/>
  <c r="Y54" i="1" s="1"/>
  <c r="H54" i="1"/>
  <c r="M53" i="1"/>
  <c r="R53" i="1" s="1"/>
  <c r="Y53" i="1" s="1"/>
  <c r="H53" i="1"/>
  <c r="M52" i="1"/>
  <c r="R52" i="1" s="1"/>
  <c r="Y52" i="1" s="1"/>
  <c r="H52" i="1"/>
  <c r="M51" i="1"/>
  <c r="R51" i="1" s="1"/>
  <c r="Y51" i="1" s="1"/>
  <c r="H51" i="1"/>
  <c r="M50" i="1"/>
  <c r="R50" i="1" s="1"/>
  <c r="Y50" i="1" s="1"/>
  <c r="H50" i="1"/>
  <c r="M49" i="1"/>
  <c r="R49" i="1" s="1"/>
  <c r="Y49" i="1" s="1"/>
  <c r="H49" i="1"/>
  <c r="M48" i="1"/>
  <c r="R48" i="1" s="1"/>
  <c r="Y48" i="1" s="1"/>
  <c r="H48" i="1"/>
  <c r="M47" i="1"/>
  <c r="R47" i="1" s="1"/>
  <c r="Y47" i="1" s="1"/>
  <c r="H47" i="1"/>
  <c r="M46" i="1"/>
  <c r="R46" i="1" s="1"/>
  <c r="Y46" i="1" s="1"/>
  <c r="H46" i="1"/>
  <c r="M45" i="1"/>
  <c r="R45" i="1" s="1"/>
  <c r="Y45" i="1" s="1"/>
  <c r="H45" i="1"/>
  <c r="M44" i="1"/>
  <c r="R44" i="1" s="1"/>
  <c r="Y44" i="1" s="1"/>
  <c r="H44" i="1"/>
  <c r="M43" i="1"/>
  <c r="R43" i="1" s="1"/>
  <c r="Y43" i="1" s="1"/>
  <c r="H43" i="1"/>
  <c r="M42" i="1"/>
  <c r="R42" i="1" s="1"/>
  <c r="Y42" i="1" s="1"/>
  <c r="H42" i="1"/>
  <c r="M41" i="1"/>
  <c r="R41" i="1" s="1"/>
  <c r="Y41" i="1" s="1"/>
  <c r="H41" i="1"/>
  <c r="M40" i="1"/>
  <c r="R40" i="1" s="1"/>
  <c r="Y40" i="1" s="1"/>
  <c r="H40" i="1"/>
  <c r="M39" i="1"/>
  <c r="R39" i="1" s="1"/>
  <c r="Y39" i="1" s="1"/>
  <c r="H39" i="1"/>
  <c r="M38" i="1"/>
  <c r="R38" i="1" s="1"/>
  <c r="Y38" i="1" s="1"/>
  <c r="H38" i="1"/>
  <c r="M37" i="1"/>
  <c r="R37" i="1" s="1"/>
  <c r="Y37" i="1" s="1"/>
  <c r="H37" i="1"/>
  <c r="M36" i="1"/>
  <c r="R36" i="1" s="1"/>
  <c r="Y36" i="1" s="1"/>
  <c r="H36" i="1"/>
  <c r="M35" i="1"/>
  <c r="R35" i="1" s="1"/>
  <c r="Y35" i="1" s="1"/>
  <c r="H35" i="1"/>
  <c r="M34" i="1"/>
  <c r="R34" i="1" s="1"/>
  <c r="Y34" i="1" s="1"/>
  <c r="H34" i="1"/>
  <c r="M33" i="1"/>
  <c r="R33" i="1" s="1"/>
  <c r="Y33" i="1" s="1"/>
  <c r="H33" i="1"/>
  <c r="M32" i="1"/>
  <c r="R32" i="1" s="1"/>
  <c r="Y32" i="1" s="1"/>
  <c r="H32" i="1"/>
  <c r="M31" i="1"/>
  <c r="R31" i="1" s="1"/>
  <c r="Y31" i="1" s="1"/>
  <c r="H31" i="1"/>
  <c r="M30" i="1"/>
  <c r="R30" i="1" s="1"/>
  <c r="Y30" i="1" s="1"/>
  <c r="H30" i="1"/>
  <c r="M29" i="1"/>
  <c r="R29" i="1" s="1"/>
  <c r="Y29" i="1" s="1"/>
  <c r="H29" i="1"/>
  <c r="M28" i="1"/>
  <c r="R28" i="1" s="1"/>
  <c r="Y28" i="1" s="1"/>
  <c r="H28" i="1"/>
  <c r="M27" i="1"/>
  <c r="R27" i="1" s="1"/>
  <c r="Y27" i="1" s="1"/>
  <c r="H27" i="1"/>
  <c r="M26" i="1"/>
  <c r="R26" i="1" s="1"/>
  <c r="Y26" i="1" s="1"/>
  <c r="H26" i="1"/>
  <c r="M25" i="1"/>
  <c r="R25" i="1" s="1"/>
  <c r="Y25" i="1" s="1"/>
  <c r="H25" i="1"/>
  <c r="M24" i="1"/>
  <c r="R24" i="1" s="1"/>
  <c r="Y24" i="1" s="1"/>
  <c r="H24" i="1"/>
  <c r="M23" i="1"/>
  <c r="R23" i="1" s="1"/>
  <c r="Y23" i="1" s="1"/>
  <c r="H23" i="1"/>
  <c r="M22" i="1"/>
  <c r="R22" i="1" s="1"/>
  <c r="Y22" i="1" s="1"/>
  <c r="H22" i="1"/>
  <c r="M21" i="1"/>
  <c r="R21" i="1" s="1"/>
  <c r="Y21" i="1" s="1"/>
  <c r="H21" i="1"/>
  <c r="M20" i="1"/>
  <c r="R20" i="1" s="1"/>
  <c r="Y20" i="1" s="1"/>
  <c r="H20" i="1"/>
  <c r="M19" i="1"/>
  <c r="R19" i="1" s="1"/>
  <c r="Y19" i="1" s="1"/>
  <c r="H19" i="1"/>
  <c r="M18" i="1"/>
  <c r="R18" i="1" s="1"/>
  <c r="Y18" i="1" s="1"/>
  <c r="H18" i="1"/>
  <c r="M17" i="1"/>
  <c r="R17" i="1" s="1"/>
  <c r="Y17" i="1" s="1"/>
  <c r="H17" i="1"/>
  <c r="M16" i="1"/>
  <c r="R16" i="1" s="1"/>
  <c r="Y16" i="1" s="1"/>
  <c r="H16" i="1"/>
  <c r="M15" i="1"/>
  <c r="R15" i="1" s="1"/>
  <c r="Y15" i="1" s="1"/>
  <c r="H15" i="1"/>
  <c r="M14" i="1"/>
  <c r="R14" i="1" s="1"/>
  <c r="Y14" i="1" s="1"/>
  <c r="H14" i="1"/>
  <c r="M13" i="1"/>
  <c r="R13" i="1" s="1"/>
  <c r="Y13" i="1" s="1"/>
  <c r="H13" i="1"/>
  <c r="M12" i="1"/>
  <c r="R12" i="1" s="1"/>
  <c r="Y12" i="1" s="1"/>
  <c r="H12" i="1"/>
  <c r="M11" i="1"/>
  <c r="R11" i="1" s="1"/>
  <c r="Y11" i="1" s="1"/>
  <c r="H11" i="1"/>
  <c r="M10" i="1"/>
  <c r="R10" i="1" s="1"/>
  <c r="Y10" i="1" s="1"/>
  <c r="H10" i="1"/>
  <c r="M9" i="1"/>
  <c r="R9" i="1" s="1"/>
  <c r="Y9" i="1" s="1"/>
  <c r="H9" i="1"/>
  <c r="M8" i="1"/>
  <c r="R8" i="1" s="1"/>
  <c r="Y8" i="1" s="1"/>
  <c r="H8" i="1"/>
  <c r="M7" i="1"/>
  <c r="R7" i="1" s="1"/>
  <c r="H7" i="1"/>
  <c r="Y7" i="1" l="1"/>
</calcChain>
</file>

<file path=xl/sharedStrings.xml><?xml version="1.0" encoding="utf-8"?>
<sst xmlns="http://schemas.openxmlformats.org/spreadsheetml/2006/main" count="1882" uniqueCount="943">
  <si>
    <t>PRICE LIST - JUNE'26</t>
  </si>
  <si>
    <t>DIVN CODE</t>
  </si>
  <si>
    <t>PD. CODE</t>
  </si>
  <si>
    <t>NAME OF PRODUCTS</t>
  </si>
  <si>
    <t>COMPOSITION</t>
  </si>
  <si>
    <t>STRIP</t>
  </si>
  <si>
    <t>TAB</t>
  </si>
  <si>
    <t>NO. OF TAB</t>
  </si>
  <si>
    <t>PACK</t>
  </si>
  <si>
    <t>BILLING PRICE</t>
  </si>
  <si>
    <t>MRP</t>
  </si>
  <si>
    <t>BOX PACK</t>
  </si>
  <si>
    <t>NRV + ED</t>
  </si>
  <si>
    <t>SCH. %</t>
  </si>
  <si>
    <t>NET RATE</t>
  </si>
  <si>
    <t>REMARK</t>
  </si>
  <si>
    <t>CASE</t>
  </si>
  <si>
    <t>CODE</t>
  </si>
  <si>
    <t>PER BOX</t>
  </si>
  <si>
    <t>June'26</t>
  </si>
  <si>
    <t>ORDER</t>
  </si>
  <si>
    <t>VALUE</t>
  </si>
  <si>
    <t>INC PRODUCTS</t>
  </si>
  <si>
    <t>HSN CODE</t>
  </si>
  <si>
    <t>GST %</t>
  </si>
  <si>
    <t>PRIDE DIVISION</t>
  </si>
  <si>
    <t>CG</t>
  </si>
  <si>
    <t>LQA45AM</t>
  </si>
  <si>
    <t>ADD APP SYRUP</t>
  </si>
  <si>
    <t>Cyproheptadine Hcl IP 2mg</t>
  </si>
  <si>
    <t>200 ML</t>
  </si>
  <si>
    <t>LQA45BM</t>
  </si>
  <si>
    <t>ADD APP PLUS LIQUID</t>
  </si>
  <si>
    <t>Cyproheptadine Hcl IP 2mg + Tricholine Citrate 275 mg/ 5ml</t>
  </si>
  <si>
    <t>LQA15AX</t>
  </si>
  <si>
    <t>ALBENDAZOLE ORAL SUSP</t>
  </si>
  <si>
    <t>Albendazole IP 200mg</t>
  </si>
  <si>
    <t>10 ML</t>
  </si>
  <si>
    <t>TBA15BP</t>
  </si>
  <si>
    <t>ALBENDAZOLE TAB</t>
  </si>
  <si>
    <t>Albendazole IP 400mg</t>
  </si>
  <si>
    <t>1 T</t>
  </si>
  <si>
    <t>100X1 T</t>
  </si>
  <si>
    <t>TBA38AU</t>
  </si>
  <si>
    <t>ALERTRIZ 5MG TAB</t>
  </si>
  <si>
    <t>Levocetirizine Dihydrochloride 5mg</t>
  </si>
  <si>
    <t>10 T</t>
  </si>
  <si>
    <t>30X10T</t>
  </si>
  <si>
    <t>Anti-Allergic</t>
  </si>
  <si>
    <t>OCA101K</t>
  </si>
  <si>
    <t>AMROCAD CREAM 10 GM</t>
  </si>
  <si>
    <t>Amorolfine Cream 0.25% w/w</t>
  </si>
  <si>
    <t>10 GM</t>
  </si>
  <si>
    <t>OCA101G</t>
  </si>
  <si>
    <t>AMROCAD CREAM 30 GM</t>
  </si>
  <si>
    <t>30 GM</t>
  </si>
  <si>
    <t>TBA122S</t>
  </si>
  <si>
    <t>ANSWELL TABLET</t>
  </si>
  <si>
    <t>Ibuprofen IP 400mg + Paracetamol IP 325mg</t>
  </si>
  <si>
    <t>20X10 T</t>
  </si>
  <si>
    <t>DGA601I</t>
  </si>
  <si>
    <t>ARGICHAMP GRANULES</t>
  </si>
  <si>
    <t>L Arginine 3 gm &amp; Proanthocyanidin 75 mg Granule in 6.5 G Sachet</t>
  </si>
  <si>
    <t>1 Sachet</t>
  </si>
  <si>
    <t>No Stocks</t>
  </si>
  <si>
    <t>TBB142P</t>
  </si>
  <si>
    <t>BILAPOWER 20 TAB</t>
  </si>
  <si>
    <t>Bilastine Tablets 20 mg</t>
  </si>
  <si>
    <t>10X10 T</t>
  </si>
  <si>
    <t>TBB145P</t>
  </si>
  <si>
    <t>BILAPOWER M TAB 10X10 T</t>
  </si>
  <si>
    <t>Bilastine 20 mg &amp; Montelukast 10 mg Tablets</t>
  </si>
  <si>
    <t>TBCAH2P</t>
  </si>
  <si>
    <t>CADLIZO 600MG TAB 10X10 T</t>
  </si>
  <si>
    <t>Linezolid Tablets IP 600mg</t>
  </si>
  <si>
    <t>RIFAGREAT/UDICYTE/CADLIZO</t>
  </si>
  <si>
    <t>TBC061U</t>
  </si>
  <si>
    <t>CALNIF RETARD TAB</t>
  </si>
  <si>
    <t>Nifedipine Retard  20mg</t>
  </si>
  <si>
    <t>30X10 T</t>
  </si>
  <si>
    <t>IPC14BA</t>
  </si>
  <si>
    <t>CAMPICILLIN 500MG INJ.</t>
  </si>
  <si>
    <t>Anhydrous Ampicillin   500mg</t>
  </si>
  <si>
    <t>VIAL</t>
  </si>
  <si>
    <t>1 VIAL</t>
  </si>
  <si>
    <t>CHC183Q</t>
  </si>
  <si>
    <t>CAMPILOX CAP</t>
  </si>
  <si>
    <t>Ampicillin 250mg + Dicloxacillin 250mg</t>
  </si>
  <si>
    <t>10 C</t>
  </si>
  <si>
    <t>10X10 C</t>
  </si>
  <si>
    <t>30041020</t>
  </si>
  <si>
    <t>CHCAQDQ</t>
  </si>
  <si>
    <t>CANDITUF 100 CAP 10X10 C</t>
  </si>
  <si>
    <t xml:space="preserve">Itraconazole Capsules 100mg </t>
  </si>
  <si>
    <t>ITRADILA/CANDITUF</t>
  </si>
  <si>
    <t>CHCAQEQ</t>
  </si>
  <si>
    <t>CANDITUF 200 CAP 10X10 C</t>
  </si>
  <si>
    <t xml:space="preserve">Itraconazole Capsules 200mg </t>
  </si>
  <si>
    <t>TBC851O</t>
  </si>
  <si>
    <t>CEFROTUX 250MG</t>
  </si>
  <si>
    <t>Cefuroxime 250mg</t>
  </si>
  <si>
    <t>5x10T</t>
  </si>
  <si>
    <t>TBC85BP</t>
  </si>
  <si>
    <t>CEFROTUX 500MG</t>
  </si>
  <si>
    <t>Cefuroxime 500mg</t>
  </si>
  <si>
    <t>10x10T</t>
  </si>
  <si>
    <t>TBC854P</t>
  </si>
  <si>
    <t>CEFROTUX CV TAB 10X10 T</t>
  </si>
  <si>
    <t>Cefuroxime
Axetile 500 mg +
Potassium Clavunate 125 mg</t>
  </si>
  <si>
    <t>TBC22CV</t>
  </si>
  <si>
    <t>CETIRIZINE TAB 40X15 T</t>
  </si>
  <si>
    <t>Cetirizine hydrochloride B.P. 10mg</t>
  </si>
  <si>
    <t>15 T</t>
  </si>
  <si>
    <t>40X15 T</t>
  </si>
  <si>
    <t>TBC31AS</t>
  </si>
  <si>
    <t>CIPRODAC-250 TABLET</t>
  </si>
  <si>
    <t>Ciprofloxacin hydrochloride IP equivalent to Ciprofloxacin 250mg</t>
  </si>
  <si>
    <t>TBC31BU</t>
  </si>
  <si>
    <t>Ciprofloxacin hydrochloride IP equivalent to Ciprofloxacin 500mg</t>
  </si>
  <si>
    <t>OCC741I</t>
  </si>
  <si>
    <t>CLIN &amp; JOY GEL 20 GM</t>
  </si>
  <si>
    <t>Clindamycin 1.0% w/w &amp; Nicotinamide 4.0% w/w</t>
  </si>
  <si>
    <t>20 GM</t>
  </si>
  <si>
    <t>1X20GM</t>
  </si>
  <si>
    <t>TBC012S</t>
  </si>
  <si>
    <t>COTRIMOXAZOLE DS TAB</t>
  </si>
  <si>
    <t>Trimethoprime IP  160mg + Sulphamethoxazole IP 800mg</t>
  </si>
  <si>
    <t>0</t>
  </si>
  <si>
    <t>TBD341S</t>
  </si>
  <si>
    <t>DEFOCAD 6MG TAB 20X10 T</t>
  </si>
  <si>
    <t xml:space="preserve">Deflazacort 6 mg </t>
  </si>
  <si>
    <t>20X10T</t>
  </si>
  <si>
    <t>TBD71AV</t>
  </si>
  <si>
    <t>DEMISONE TAB</t>
  </si>
  <si>
    <t>Dexamethasone IP  0.5mg</t>
  </si>
  <si>
    <t>40X10T</t>
  </si>
  <si>
    <t>NEW PACK</t>
  </si>
  <si>
    <t>TBD71DW</t>
  </si>
  <si>
    <t xml:space="preserve">DEMISONE TAB </t>
  </si>
  <si>
    <t>100X10T</t>
  </si>
  <si>
    <t>TBD12CZ</t>
  </si>
  <si>
    <t>DEXAMETHASONE TABLET</t>
  </si>
  <si>
    <t>Dexamethasone IP 0.5mg</t>
  </si>
  <si>
    <t>200 T</t>
  </si>
  <si>
    <t>12X200T</t>
  </si>
  <si>
    <t>ILD21AB</t>
  </si>
  <si>
    <t>DEXASONE INJ.</t>
  </si>
  <si>
    <t>Dexamethasone sodium phosphate IP equivalent to Dexamethasone Sod phosphate  4mg</t>
  </si>
  <si>
    <t>2 ML</t>
  </si>
  <si>
    <t>TBD071S</t>
  </si>
  <si>
    <t>DP GESIC TABLET</t>
  </si>
  <si>
    <t>Diclofenac sodium IP 50mg + Paracetamol IP 325mg</t>
  </si>
  <si>
    <t>30049069</t>
  </si>
  <si>
    <t>TBD07BV</t>
  </si>
  <si>
    <t xml:space="preserve">DP GESIC TABLET </t>
  </si>
  <si>
    <t>120X10T</t>
  </si>
  <si>
    <t>CSE17ES</t>
  </si>
  <si>
    <t>EEECAD 400MG CAP 20X10 C</t>
  </si>
  <si>
    <t>Vitamin E 400mg</t>
  </si>
  <si>
    <t>20X10C</t>
  </si>
  <si>
    <t>LQG722M</t>
  </si>
  <si>
    <t>GENFOL LIQUID</t>
  </si>
  <si>
    <t>Ferric Ammonium Citrate 110mg + Folic Acid 1.5 mg + Cyanocobalamin 15 mcg + Sorbitol Solution (70%) IP (Non Crystallizing) 10% w/v</t>
  </si>
  <si>
    <t>TBG133V</t>
  </si>
  <si>
    <t>GENLIDE PLUS TAB</t>
  </si>
  <si>
    <t>Nimesulide 100mg + Paracetamol 325 mg</t>
  </si>
  <si>
    <t>50X10T</t>
  </si>
  <si>
    <t>LQG723M</t>
  </si>
  <si>
    <t>GENPROT LIQUID 200 ML</t>
  </si>
  <si>
    <t xml:space="preserve">Protein Hydrolisate 20% 0.333gm + Niacinamide 10mg + Iron Choline Citrate 15mg + Magnesium Chloride 3.333 mg 
+ Manganese Chloride 0.033mg + Zinc Sulphate 2.7mg Eq. to Elemental Zinc 0.6mg + L-Lysine Mono HCl 20mg </t>
  </si>
  <si>
    <t>CSG16AV</t>
  </si>
  <si>
    <t>GENVOL PLUS</t>
  </si>
  <si>
    <t>Camphor IP 25mg,Chlorothymol 5mg + Eucalyptol usp 125mg + Menthol IP 55mg + Terpineol BP 120mg</t>
  </si>
  <si>
    <t>35X10C</t>
  </si>
  <si>
    <t>CSG261N</t>
  </si>
  <si>
    <t>GESTOSHINE 200 SOFT CAP</t>
  </si>
  <si>
    <t>Progesterone 200mg Cap (Natual Micronised)</t>
  </si>
  <si>
    <t>10X10C</t>
  </si>
  <si>
    <t>TBG261P</t>
  </si>
  <si>
    <t>GESTOSHINE 200 SR TAB 10X10 T</t>
  </si>
  <si>
    <t>Progesterone 200mg SR</t>
  </si>
  <si>
    <t>TBG262P</t>
  </si>
  <si>
    <t>GESTOSHINE 300 SR TAB 10X10 T</t>
  </si>
  <si>
    <t>Progesterone 300mg SR</t>
  </si>
  <si>
    <t>CSI181N</t>
  </si>
  <si>
    <t>ISOZIP 10MG CAP 10X10 C</t>
  </si>
  <si>
    <t>Isotretoin Capsules IP 10 mg</t>
  </si>
  <si>
    <t>CSI182N</t>
  </si>
  <si>
    <t>ISOZIP 20MG CAP 10X10 C</t>
  </si>
  <si>
    <t>Isotretoin Capsules IP 20 mg</t>
  </si>
  <si>
    <t>TBL42DP</t>
  </si>
  <si>
    <t>LEVECROS 500MG TAB 10X10 T</t>
  </si>
  <si>
    <t>Levetiracetam 500mg</t>
  </si>
  <si>
    <t>OCL18CK</t>
  </si>
  <si>
    <t>NEW LIGNOCAD GEL 30 GM</t>
  </si>
  <si>
    <t>Lidocaine Hydrochloride IP 2.00% w/v + Methylparaben IP 0.061% w/v + Propylparaben IP 0.27% w/v</t>
  </si>
  <si>
    <t>CHL091T</t>
  </si>
  <si>
    <t>LOPERAMIDE 2MG CAP</t>
  </si>
  <si>
    <t>Loperamide hydrochloride U.S.P 2mg</t>
  </si>
  <si>
    <t>20X10 C</t>
  </si>
  <si>
    <t>OCL462G</t>
  </si>
  <si>
    <t>LULIDILA OINTMENT 10 GM</t>
  </si>
  <si>
    <t xml:space="preserve">Luliconazole 1% Cream </t>
  </si>
  <si>
    <t>30049029</t>
  </si>
  <si>
    <t>OCL463I</t>
  </si>
  <si>
    <t>LULIDILA OINTMENT 20GM</t>
  </si>
  <si>
    <t>OCL464M</t>
  </si>
  <si>
    <t>LULIDILA OINTMENT 30GM</t>
  </si>
  <si>
    <t>OCL465N</t>
  </si>
  <si>
    <t>LULIDILA OINTMENT 50GM</t>
  </si>
  <si>
    <t>50 GM</t>
  </si>
  <si>
    <t>LQL464D</t>
  </si>
  <si>
    <t>LULIDILA LOTION 30 ML</t>
  </si>
  <si>
    <t>Luliconazole Lotion 1%</t>
  </si>
  <si>
    <t>TBM152U</t>
  </si>
  <si>
    <t>MOKCAN 250 DISP.TAB</t>
  </si>
  <si>
    <t>Amoxycillin 250 mg</t>
  </si>
  <si>
    <t>CHM151V</t>
  </si>
  <si>
    <t>MOKCAN 250MG CAP</t>
  </si>
  <si>
    <t>Amoxycillin 250mg</t>
  </si>
  <si>
    <t>30X10 C</t>
  </si>
  <si>
    <t>CHM152S</t>
  </si>
  <si>
    <t>MOKCAN 500MG CAP</t>
  </si>
  <si>
    <t>Amoxycillin 500mg</t>
  </si>
  <si>
    <t>TBM312Z</t>
  </si>
  <si>
    <t>MOKCAN CV 625 TAB</t>
  </si>
  <si>
    <t>Amoxycillin 500 mg + Clavulanic Acid 125 mg</t>
  </si>
  <si>
    <t>6 T</t>
  </si>
  <si>
    <t>20X6 T</t>
  </si>
  <si>
    <t>TBM312P</t>
  </si>
  <si>
    <t>MOKCAN CV 625 TAB (10x10T)</t>
  </si>
  <si>
    <t>LQM31AI</t>
  </si>
  <si>
    <t>MOKCAN CV DRY SUSPENSION (WITH WFI)</t>
  </si>
  <si>
    <t>Amoxicillin 200mg + Clavulanic Acid 28.5mg</t>
  </si>
  <si>
    <t>30 ML</t>
  </si>
  <si>
    <t>LQM401D</t>
  </si>
  <si>
    <t>MONTLEVO SUSPENSION</t>
  </si>
  <si>
    <t xml:space="preserve">Montelukast 4 mg + Levocetirizine 2.5 mg </t>
  </si>
  <si>
    <t>TBM403P</t>
  </si>
  <si>
    <t>MONTLEVO TAB</t>
  </si>
  <si>
    <t>Levocetirizine 5 mg + Montelukast 10 mg</t>
  </si>
  <si>
    <t>TBM404U</t>
  </si>
  <si>
    <t>MONTLEVO TAB (15's Pack)</t>
  </si>
  <si>
    <t>20X15T</t>
  </si>
  <si>
    <t>TBM402P</t>
  </si>
  <si>
    <t>MONTLEVO FX TAB</t>
  </si>
  <si>
    <t>Montelukast 10 mg + Fexofenadine 120 mg</t>
  </si>
  <si>
    <t>10X10T</t>
  </si>
  <si>
    <t>OCM501F</t>
  </si>
  <si>
    <t>MUPIDAC 5 GM OINT</t>
  </si>
  <si>
    <t>5 GM</t>
  </si>
  <si>
    <t>LQN271G</t>
  </si>
  <si>
    <t xml:space="preserve">NEW SNEEZY SUSPENSION </t>
  </si>
  <si>
    <t>Paracetamol IP 125 mg + CPM IP 1 mg + Phenylephrine HCL IP 5 mg</t>
  </si>
  <si>
    <t>60 ML</t>
  </si>
  <si>
    <t>TBN271U</t>
  </si>
  <si>
    <t>NEW SNEEZY TABLET</t>
  </si>
  <si>
    <t>Paracetamol 325 mg + Phenylephrine HCL 5 mg + Chlorpheniramine Maleate 2mg</t>
  </si>
  <si>
    <t>CHN71AV</t>
  </si>
  <si>
    <t xml:space="preserve">NOGACID 20MG CAP </t>
  </si>
  <si>
    <t>Omeprazole IP  20mg</t>
  </si>
  <si>
    <t>15 C</t>
  </si>
  <si>
    <t>20X15 C</t>
  </si>
  <si>
    <t>CHN73AV</t>
  </si>
  <si>
    <t>NOGACID-D CAP</t>
  </si>
  <si>
    <t>Omeprazole IP  20mg + Domperidone 10 mg</t>
  </si>
  <si>
    <t>TBO20AU</t>
  </si>
  <si>
    <t>OFLOSTAR 200</t>
  </si>
  <si>
    <t>Ofloxacin USP  200mg</t>
  </si>
  <si>
    <t>30x10 T</t>
  </si>
  <si>
    <t>TBO203S</t>
  </si>
  <si>
    <t>OFLOSTAR OZ TAB</t>
  </si>
  <si>
    <t>Ofloxacin  USP  200mg + Ornidazole 500mg</t>
  </si>
  <si>
    <t>20x10 T</t>
  </si>
  <si>
    <t>IPO08CA</t>
  </si>
  <si>
    <t>ORITAXIM 1 GM INJ</t>
  </si>
  <si>
    <t>Cefotaxime 1000mg</t>
  </si>
  <si>
    <t>IPO08AA</t>
  </si>
  <si>
    <t>ORITAXIM 250MG INJ</t>
  </si>
  <si>
    <t>Cefotaxime 250mg</t>
  </si>
  <si>
    <t>IPO08BA</t>
  </si>
  <si>
    <t>ORITAXIM 500MG INJ</t>
  </si>
  <si>
    <t>Cefotaxime 500mg</t>
  </si>
  <si>
    <t>TBO251S</t>
  </si>
  <si>
    <t>ORITAXIM O 100MG TAB</t>
  </si>
  <si>
    <t>Cefixime 100 mg</t>
  </si>
  <si>
    <t>TBO252S</t>
  </si>
  <si>
    <t>ORITAXIM O 200</t>
  </si>
  <si>
    <t>Cefixime 200 mg</t>
  </si>
  <si>
    <t>TBO253P</t>
  </si>
  <si>
    <t>ORITAXIM O 50MG TAB</t>
  </si>
  <si>
    <t>Cefixime 50 mg</t>
  </si>
  <si>
    <t>LQO25AD</t>
  </si>
  <si>
    <t>ORITAXIM O 100 DRY SUSPENSION</t>
  </si>
  <si>
    <t>LQO25BD</t>
  </si>
  <si>
    <t>ORITAXIM O 50 DRY SUSPENSION</t>
  </si>
  <si>
    <t>TBO251O</t>
  </si>
  <si>
    <t>ORITAXIM CV TAB</t>
  </si>
  <si>
    <t>Cefixime 200mg + Potassium Clavulanate 125 mg</t>
  </si>
  <si>
    <t>TBO205P</t>
  </si>
  <si>
    <t>ORITAXIM OF TAB</t>
  </si>
  <si>
    <t xml:space="preserve">Cefixime 200 mg + Ofloxacin 200 mg </t>
  </si>
  <si>
    <t>DGO32CA</t>
  </si>
  <si>
    <t>ORS ORANGE FLAVOUR 21.8 GM</t>
  </si>
  <si>
    <t>ORS</t>
  </si>
  <si>
    <t>21.8 gm</t>
  </si>
  <si>
    <t>DGO32DA</t>
  </si>
  <si>
    <t>ORS LEMON FLAVOUR 21.8 GM</t>
  </si>
  <si>
    <t>LQP441G</t>
  </si>
  <si>
    <t>PERMEBIS LOTION 50 ML</t>
  </si>
  <si>
    <t>Permethrin Lotion 5%</t>
  </si>
  <si>
    <t>50 ML</t>
  </si>
  <si>
    <t>LQP161O</t>
  </si>
  <si>
    <t>POVICIDAL 100ML SOLN</t>
  </si>
  <si>
    <t>Povidone Iodine IP 5% w/v</t>
  </si>
  <si>
    <t>100 ML</t>
  </si>
  <si>
    <t>OCP162I</t>
  </si>
  <si>
    <t>POVICIDAL 20 GM CREAM</t>
  </si>
  <si>
    <t>Povidone Iodine IP</t>
  </si>
  <si>
    <t>OCP162S</t>
  </si>
  <si>
    <t>POVICIDAL 250 GM CREAM</t>
  </si>
  <si>
    <t>250 GM</t>
  </si>
  <si>
    <t>LQP162U</t>
  </si>
  <si>
    <t>POVICIDAL 500ML SOLN</t>
  </si>
  <si>
    <t>500 ML</t>
  </si>
  <si>
    <t>DGP161A</t>
  </si>
  <si>
    <t>POVICIDAL POWDER</t>
  </si>
  <si>
    <t>Povidone Iodine IP 5% w/w</t>
  </si>
  <si>
    <t>LQP163Z</t>
  </si>
  <si>
    <t>POVICIDAL SOLUTION</t>
  </si>
  <si>
    <t>POVIDONE IODINE IP 5% w/v</t>
  </si>
  <si>
    <t>2000 ML</t>
  </si>
  <si>
    <t>2 LTR</t>
  </si>
  <si>
    <t>CHP434Q</t>
  </si>
  <si>
    <t>PREGABADIL CAP 10X10 C</t>
  </si>
  <si>
    <t>Pregabalin 75mg Capsules</t>
  </si>
  <si>
    <t>10x10 C</t>
  </si>
  <si>
    <t>CHP433Q</t>
  </si>
  <si>
    <t>PREGABADIL M CAP 10X10 C</t>
  </si>
  <si>
    <t>Pregabalin 75mg &amp; Methylcobalamin 750mcg Capsules</t>
  </si>
  <si>
    <t>TBP433P</t>
  </si>
  <si>
    <t>PREGABADIL NT TAB 10X10 T</t>
  </si>
  <si>
    <t>Pregabalin 75mg Sustained release+ Nortriptyiline 10mg Tablet</t>
  </si>
  <si>
    <t>10x10 T</t>
  </si>
  <si>
    <t>TBP434P</t>
  </si>
  <si>
    <t>PREGABADIL TOTAL TAB</t>
  </si>
  <si>
    <t>Pregabalin75 mg (SR)+ Mecobalamin 1500 mcg, Nortriptyline 10 mg</t>
  </si>
  <si>
    <t>LQP151M</t>
  </si>
  <si>
    <t>PROVA SYRUP</t>
  </si>
  <si>
    <t>Protein hydrolysate 20% 1 gm + Carbohydrate 9 gm + Iron choline citrate 45 mg + Magnanese Chloride USP 0.1 mg + Magnasium chloride IP 10 mg</t>
  </si>
  <si>
    <t>TBR331P</t>
  </si>
  <si>
    <t>RIFAGREAT 200 TAB 10X10 T</t>
  </si>
  <si>
    <t>Rifaximin Tablets IP 200 mg</t>
  </si>
  <si>
    <t>TBR332P</t>
  </si>
  <si>
    <t>RIFAGREAT 400</t>
  </si>
  <si>
    <t>Rifaximin Tablets IP 400 mg</t>
  </si>
  <si>
    <t>TBR333P</t>
  </si>
  <si>
    <t>RIFAGREAT 550</t>
  </si>
  <si>
    <t>Rifaximin Tablets IP 550 mg</t>
  </si>
  <si>
    <t>LQS40AI</t>
  </si>
  <si>
    <t>SCABICROS LOTION 100 ML</t>
  </si>
  <si>
    <t>Gamma Benzene Hexachloride 1% w/v+ Cetrimide 0.1%w/v Lotion</t>
  </si>
  <si>
    <t>TBS721U</t>
  </si>
  <si>
    <t>SNEEZY DX GOLD TAB 30X10 T</t>
  </si>
  <si>
    <t>Dextromethorphen 10 mg + Chlorpheniramine 2 mg + Phenylephrine 5 mg</t>
  </si>
  <si>
    <t>OCT422G</t>
  </si>
  <si>
    <t>TERBICAD GM CREAM</t>
  </si>
  <si>
    <t>Clobetasole Propionate 0.05% + Neomycin  Sulphate eq. to Neomycin 0.1%, Miconazole Nitrate 2%</t>
  </si>
  <si>
    <t>TBT42BA</t>
  </si>
  <si>
    <t>TERBICAD 250MG TAB</t>
  </si>
  <si>
    <t>Terbinafine 250 mg</t>
  </si>
  <si>
    <t>7 TAB</t>
  </si>
  <si>
    <t>15X7 T</t>
  </si>
  <si>
    <t>TBT44AN</t>
  </si>
  <si>
    <t>THYRORITE 25 MCG TAB</t>
  </si>
  <si>
    <t>Thyroxine Sodium Tablets</t>
  </si>
  <si>
    <t>120 T Bottle</t>
  </si>
  <si>
    <t>TBT44BN</t>
  </si>
  <si>
    <t>THYRORITE 50 MCG TAB</t>
  </si>
  <si>
    <t>TBT44CN</t>
  </si>
  <si>
    <t>THYRORITE 75 MCG TAB</t>
  </si>
  <si>
    <t>TBT44DN</t>
  </si>
  <si>
    <t>THYRORITE 100 MCG TAB</t>
  </si>
  <si>
    <t>TBU045R</t>
  </si>
  <si>
    <t>UDICYTE 150 TAB</t>
  </si>
  <si>
    <t>Ursodeoxycholic Acid Tablet IP 150mg</t>
  </si>
  <si>
    <t>10X15 T</t>
  </si>
  <si>
    <t>TBU046R</t>
  </si>
  <si>
    <t>UDICYTE 300 TAB</t>
  </si>
  <si>
    <t>Ursodeoxycholic Acid Tablet IP 300mg</t>
  </si>
  <si>
    <t>OCV192K</t>
  </si>
  <si>
    <t>VOLICAD 30 GM</t>
  </si>
  <si>
    <t>Linseed oil BP 3% w/w + Diclofenac diethylamine BP 1.16% w/w + Methyl Salicylate IP 10% w/w + Menthol IP 5% w/w + Benzyl Al-cohol IP 1% w/w</t>
  </si>
  <si>
    <t>SPARK DIVISION</t>
  </si>
  <si>
    <t>CR</t>
  </si>
  <si>
    <t>TBA48CU</t>
  </si>
  <si>
    <t>ACENEXT P TAB</t>
  </si>
  <si>
    <t>Aceclofenac BP 100mg + Paracetamol 325 mg</t>
  </si>
  <si>
    <t>TBA48CS</t>
  </si>
  <si>
    <t>ACENEXT TAB</t>
  </si>
  <si>
    <t>Aceclofenac BP 100mg</t>
  </si>
  <si>
    <t>TBA485S</t>
  </si>
  <si>
    <t>ACENEXT MR TAB</t>
  </si>
  <si>
    <t>Aceclofenac 100 mg + Paracetamol 325 mg + Chlorzoxazone 250 mg</t>
  </si>
  <si>
    <t>TBA484P</t>
  </si>
  <si>
    <t>ACENEXT SP TAB</t>
  </si>
  <si>
    <t>Paracetamol IP 325 mg + Aceclofenac 100mg + Serratiopeptidase 15mg</t>
  </si>
  <si>
    <t>LQA32AI</t>
  </si>
  <si>
    <t>ALKARYL</t>
  </si>
  <si>
    <t>Disodium hydrogen citrate BP 1.40GM</t>
  </si>
  <si>
    <t>BOT</t>
  </si>
  <si>
    <t>TBA08EJ</t>
  </si>
  <si>
    <t>ANZILUM 0.25</t>
  </si>
  <si>
    <t>Alprazolam 0.25 mg</t>
  </si>
  <si>
    <t>50 x 15T</t>
  </si>
  <si>
    <t>TBA08FJ</t>
  </si>
  <si>
    <t>ANZILUM 0.50</t>
  </si>
  <si>
    <t>Alprazolam 0.5 mg</t>
  </si>
  <si>
    <t>TBA401U</t>
  </si>
  <si>
    <t>ATORBEST 10 MG TAB</t>
  </si>
  <si>
    <t>Atorvastatin 10mg</t>
  </si>
  <si>
    <t>TBA402U</t>
  </si>
  <si>
    <t>ATORBEST 20 MG TAB</t>
  </si>
  <si>
    <t>Atorvastatin 20mg</t>
  </si>
  <si>
    <t>TBA403S</t>
  </si>
  <si>
    <t>ATORBEST 40 MG TAB</t>
  </si>
  <si>
    <t>Atorvastatin 40mg</t>
  </si>
  <si>
    <t>TBA311P</t>
  </si>
  <si>
    <t>AXONE O 100MG  DT TAB</t>
  </si>
  <si>
    <t>Cefpodoxime 100mg</t>
  </si>
  <si>
    <t>TBA312P</t>
  </si>
  <si>
    <t>AXONE O 200MG TAB</t>
  </si>
  <si>
    <t>Cefpodoxime 200mg</t>
  </si>
  <si>
    <t>TBA314Y</t>
  </si>
  <si>
    <t>AXONE O CV TAB.</t>
  </si>
  <si>
    <t>Cefpodoxime 200 mg + Clavulanic Acid 125 mg</t>
  </si>
  <si>
    <t>10X6T</t>
  </si>
  <si>
    <t>LQA313D</t>
  </si>
  <si>
    <t>AXONE O CV DRY SUSPENSION WITH WFI</t>
  </si>
  <si>
    <t>Cefpodoxime 50 mg + Pottassium Clavulante 31.25 mg/5ml dry syp</t>
  </si>
  <si>
    <t>TBA315P</t>
  </si>
  <si>
    <t>AXONE O OF TAB 10X10 T</t>
  </si>
  <si>
    <t>Cefpodoxime 200 mg + Ofloxacin 200mg</t>
  </si>
  <si>
    <t>LQA31AD</t>
  </si>
  <si>
    <t>AXONE O 50 DRY SUSPENSION (WITH WFI)</t>
  </si>
  <si>
    <t>Cefpodoxime50 mg / 5ml Dry Syrup</t>
  </si>
  <si>
    <t>LQA312D</t>
  </si>
  <si>
    <t>AXONE O 100MG DRY SUSPENSION [WITH WFI]</t>
  </si>
  <si>
    <t>Cefpodoxime100 mg / 5ml Dry Syrup</t>
  </si>
  <si>
    <t>TBA47BZ</t>
  </si>
  <si>
    <t>AZIVISTA 250 TAB</t>
  </si>
  <si>
    <t>Azithromycin 250mg</t>
  </si>
  <si>
    <t>20X6T</t>
  </si>
  <si>
    <t>TBA472Y</t>
  </si>
  <si>
    <t>AZIVISTA 500 TAB</t>
  </si>
  <si>
    <t>Azithromycin 500mg</t>
  </si>
  <si>
    <t>3 T</t>
  </si>
  <si>
    <t>20X3T</t>
  </si>
  <si>
    <t>LQA471D</t>
  </si>
  <si>
    <t>AZIVISTA XL 200 SUSPENSION 30 ML</t>
  </si>
  <si>
    <t>Azithromycin Oral Suspension</t>
  </si>
  <si>
    <t>1X30 ML</t>
  </si>
  <si>
    <t>TBC974S</t>
  </si>
  <si>
    <t>CADIXIM 100 DT</t>
  </si>
  <si>
    <t>Cefixim 100 mg</t>
  </si>
  <si>
    <t>TBC97CS</t>
  </si>
  <si>
    <t>CADIXIM 200 TAB</t>
  </si>
  <si>
    <t>Cefixim 200 mg</t>
  </si>
  <si>
    <t>TBC971S</t>
  </si>
  <si>
    <t>CADIXIM 50MG DT</t>
  </si>
  <si>
    <t>Cefixim 50 mg</t>
  </si>
  <si>
    <t>TBC921O</t>
  </si>
  <si>
    <t>CADIXIM CV</t>
  </si>
  <si>
    <t xml:space="preserve">Cefixime 200 mg + Clavulanic Acid 125 mg </t>
  </si>
  <si>
    <t>10X 6T</t>
  </si>
  <si>
    <t>TBC931P</t>
  </si>
  <si>
    <t>CADIXIM OF</t>
  </si>
  <si>
    <t>Cefixime 200 mg + Ofloxacin 200 mg</t>
  </si>
  <si>
    <t>LQC931D</t>
  </si>
  <si>
    <t>CADIXIM OF SUSPENSION</t>
  </si>
  <si>
    <t>Cefixime 50 mg + Ofloxacin IP 50 mg</t>
  </si>
  <si>
    <t>LQC97BD</t>
  </si>
  <si>
    <t>CADIXIM 100 DRY SUSPENSION</t>
  </si>
  <si>
    <t>Cefixime100 mg / 5ml Dry Syrup</t>
  </si>
  <si>
    <t>LQC97AD</t>
  </si>
  <si>
    <t>CADIXIM 50 DRY SUSPENSION</t>
  </si>
  <si>
    <t>Cefixime50 mg / 5ml Dry Syrup</t>
  </si>
  <si>
    <t>TBC51BU</t>
  </si>
  <si>
    <t>CALCIGEN 500MG TAB</t>
  </si>
  <si>
    <t>Elemental Calcium  500mg + Vitamin D3 IP  250 I.U.</t>
  </si>
  <si>
    <t>20X15 T</t>
  </si>
  <si>
    <t>LQC124I</t>
  </si>
  <si>
    <t>CALCIGEN D3 NANO</t>
  </si>
  <si>
    <t>Cholecalciferol (Vitamin D3) Oral Solution 60000 I.U.</t>
  </si>
  <si>
    <t>5 ML</t>
  </si>
  <si>
    <t>4X5 ML</t>
  </si>
  <si>
    <t>CALCIGEN</t>
  </si>
  <si>
    <t>TBC51AN</t>
  </si>
  <si>
    <t>CALCIGEN D3 CHEWABLE TAB</t>
  </si>
  <si>
    <t>Cholecalciferol IP 60000 I.U. (Vitamin D3)</t>
  </si>
  <si>
    <t>4 T</t>
  </si>
  <si>
    <t>10x4 T</t>
  </si>
  <si>
    <t>CSC511N</t>
  </si>
  <si>
    <t>CALCIGEN D3 SOFT CAP</t>
  </si>
  <si>
    <t>4 C</t>
  </si>
  <si>
    <t>10x4 C</t>
  </si>
  <si>
    <t>CSC512N</t>
  </si>
  <si>
    <t>CALCIGEN D3 CAP 10X8 C</t>
  </si>
  <si>
    <t>10x8 CAP</t>
  </si>
  <si>
    <t>LQC511D</t>
  </si>
  <si>
    <t>CALCIGEN D3 DROPS</t>
  </si>
  <si>
    <t>Cholecalciferol IP 400 I.U. (Vitamin D3)</t>
  </si>
  <si>
    <t>TBC515P</t>
  </si>
  <si>
    <t>CALCIGEN TOTAL TAB</t>
  </si>
  <si>
    <t>Alpha Lipoic Acid 100mg, Folic Acid 1.5mg, Methylcobalamin 1500mcg, Vit. B6-3 mg and Vit. D3 - 1000iu Tab</t>
  </si>
  <si>
    <t>CHC143V</t>
  </si>
  <si>
    <t>CAMPICILLIN 250  CAP</t>
  </si>
  <si>
    <t>Ampicillin 250mg</t>
  </si>
  <si>
    <t>CHC144S</t>
  </si>
  <si>
    <t>CAMPICILLIN 500MG CAP</t>
  </si>
  <si>
    <t>Ampicillin 500mg</t>
  </si>
  <si>
    <t>TBCAC1S</t>
  </si>
  <si>
    <t>CHYMOTHAL FORTE  TAB</t>
  </si>
  <si>
    <t>Trypsin Chymotripsin 40 mg</t>
  </si>
  <si>
    <t>20 T</t>
  </si>
  <si>
    <t>10x20T</t>
  </si>
  <si>
    <t>TBCAC1P</t>
  </si>
  <si>
    <t>CHYMOTHAL PLUS  TAB</t>
  </si>
  <si>
    <t>Trypsin 48 mg+Bromelain 90mg+Rutoside Trihydrate 100mg+Diclo. Sod.50mg</t>
  </si>
  <si>
    <t>LQC67FI</t>
  </si>
  <si>
    <t>CLEARTUSS LS</t>
  </si>
  <si>
    <t>Levosalbutamol 0.5 mg + Ambroxol Hcl 15mg + Guaiphenesion  IP 50mg</t>
  </si>
  <si>
    <t>LQC174I</t>
  </si>
  <si>
    <t>CODECTUSS DX 4</t>
  </si>
  <si>
    <t>Dextromethorphan Hcl IP 10 mg &amp; Chlorpheniramine Maleate 4 mg</t>
  </si>
  <si>
    <t>LQC671G</t>
  </si>
  <si>
    <t>CLEARTUSS-T</t>
  </si>
  <si>
    <t>Terbutaline sulphate ip 1.25mg + Bromhexine-hcl IP 2.0mg + Guaiphenesin IP 50.0mg</t>
  </si>
  <si>
    <t>LQC671I</t>
  </si>
  <si>
    <t>LQC17HI</t>
  </si>
  <si>
    <t xml:space="preserve">CODECTUSS TR SYRUP </t>
  </si>
  <si>
    <t>Codeine Phosphate IP 10mg + Triprolidine Hcl.1.25 mg</t>
  </si>
  <si>
    <t>TBC941N</t>
  </si>
  <si>
    <t>CONTRAKIT</t>
  </si>
  <si>
    <t>Combikit of Mifepristone 200 mg (1Tab) + Misoprostol 200 mcg (4 Tab) (ALU/ALU)</t>
  </si>
  <si>
    <t>1 KIT</t>
  </si>
  <si>
    <t>1 x 5T</t>
  </si>
  <si>
    <t>TBD454P</t>
  </si>
  <si>
    <t>DAPAKART 10 TAB 10X10 T</t>
  </si>
  <si>
    <t>Dapagliflozin 10 mg</t>
  </si>
  <si>
    <t>CHRONIC</t>
  </si>
  <si>
    <t>TBD451P</t>
  </si>
  <si>
    <t>DAPAKART M 500 TAB</t>
  </si>
  <si>
    <t>Dapagliflozin 10 mg+ Metformin 500 mg</t>
  </si>
  <si>
    <t>TBD452P</t>
  </si>
  <si>
    <t>DAPAKART M 1000 TAB</t>
  </si>
  <si>
    <t>Dapagliflozin 10 mg+ Metformin 1000 mg</t>
  </si>
  <si>
    <t>IPF282A</t>
  </si>
  <si>
    <t>FALARCIN INJ.</t>
  </si>
  <si>
    <t>Artesunate 60 mg</t>
  </si>
  <si>
    <t>CHF251U</t>
  </si>
  <si>
    <t>FEROCAD CAP</t>
  </si>
  <si>
    <t>Ferrous Gluconate 259 mg + Folic Acid 0.5 mg + Vitamin B12 - 2.5 mcg + Dibasic Calcium Phosphate 100 mg + Zinc Sulphate 33 mg</t>
  </si>
  <si>
    <t>20 x 15C</t>
  </si>
  <si>
    <t>ILF251E</t>
  </si>
  <si>
    <t>FEROCAD INJECTION</t>
  </si>
  <si>
    <t>Ferric Hydroxide in complex with Sucrose equivalent to Elemental Iron 20 mg</t>
  </si>
  <si>
    <t>5 ml</t>
  </si>
  <si>
    <t>TBF252R</t>
  </si>
  <si>
    <t>FEROCAD XT TAB</t>
  </si>
  <si>
    <t>Ferrous Ascorbate e.q.to Elemental Iron 100mg, Folic Acid IP 1.5mg</t>
  </si>
  <si>
    <t>15 x 10T</t>
  </si>
  <si>
    <t>TBF046Z</t>
  </si>
  <si>
    <t>FLUZON</t>
  </si>
  <si>
    <t xml:space="preserve">Fluconazole 150mg Tab </t>
  </si>
  <si>
    <t>72 x 1T</t>
  </si>
  <si>
    <t>CSF181I</t>
  </si>
  <si>
    <t>FOLIRANG SOFTULES</t>
  </si>
  <si>
    <t>Elemental Iron 32.8mg+Cyanocobalamin IP 7.5mcg+Folic Acid IP 0.5mg+Elemental Zinc 7.5mg</t>
  </si>
  <si>
    <t>30 CAP</t>
  </si>
  <si>
    <t>1X30 CAP</t>
  </si>
  <si>
    <t>CSG231N</t>
  </si>
  <si>
    <t>GEMCIUM</t>
  </si>
  <si>
    <t>Calcitriol BP 0.25mcg + Elemental Calcium 500mg + Zinc 7.5mg</t>
  </si>
  <si>
    <t>TBG151U</t>
  </si>
  <si>
    <t>GLISTA 1 TAB 10X30 T</t>
  </si>
  <si>
    <t>Glimepiride Tab IP 1mg</t>
  </si>
  <si>
    <t>10X30 T</t>
  </si>
  <si>
    <t>TBG152U</t>
  </si>
  <si>
    <t>GLISTA 2 TAB 10X30 T</t>
  </si>
  <si>
    <t>Glimepiride Tab IP 2mg</t>
  </si>
  <si>
    <t>TBG15CN</t>
  </si>
  <si>
    <t>GLISTA PM-1 TAB 10X15 T</t>
  </si>
  <si>
    <t>Glimepiride Tab IP 1mg +Pioglitazone 15mg + Metformin 500mg</t>
  </si>
  <si>
    <t>TBG15DN</t>
  </si>
  <si>
    <t>GLISTA PM-2 TAB 10X15 T</t>
  </si>
  <si>
    <t>Glimepiride Tab IP 2mg +Pioglitazone 15mg + Metformin 500mg</t>
  </si>
  <si>
    <t>CHI14CN</t>
  </si>
  <si>
    <t>ITRADILA 100 CAP (10's)</t>
  </si>
  <si>
    <t>CHI14DN</t>
  </si>
  <si>
    <t>ITRADILA 200MG CAP (10's)</t>
  </si>
  <si>
    <t>TBL38AV</t>
  </si>
  <si>
    <t>LEVOZET</t>
  </si>
  <si>
    <t>Levocetirizine 5 mg</t>
  </si>
  <si>
    <t>50 x 10T</t>
  </si>
  <si>
    <t>TBL363P</t>
  </si>
  <si>
    <t>LEVOZET M TAB</t>
  </si>
  <si>
    <t>20 x 10T</t>
  </si>
  <si>
    <t>LQL361G</t>
  </si>
  <si>
    <t>LEVOZET M SYRUP 60 ML</t>
  </si>
  <si>
    <t>Levocetirizine 2.5 mg + Montelukast 4 mg</t>
  </si>
  <si>
    <t>LQL361D</t>
  </si>
  <si>
    <t>LEVOZET SUSPENSION</t>
  </si>
  <si>
    <t xml:space="preserve">Levocetirizine 2.5 mg </t>
  </si>
  <si>
    <t>TBM371S</t>
  </si>
  <si>
    <t>METBETIC 500MG TAB.</t>
  </si>
  <si>
    <t>Metformin hydrochloride IP  500mg</t>
  </si>
  <si>
    <t>TBM171R</t>
  </si>
  <si>
    <t>METBETIC GL1  TAB 10X15 T</t>
  </si>
  <si>
    <t>Bilayered Tab - Metformin 500mg (Sustain Released form) + Glimepride 1 mg</t>
  </si>
  <si>
    <t>TBM172R</t>
  </si>
  <si>
    <t>METBETIC GL2 TAB</t>
  </si>
  <si>
    <t>Bilayered Tab - Metformin 500mg (Sustain Released form) + Glimepride 2 mg</t>
  </si>
  <si>
    <t>TBM381P</t>
  </si>
  <si>
    <t>METSPOT XL 25</t>
  </si>
  <si>
    <t>Metoprolol Succinate Prolonged Release 25 mg</t>
  </si>
  <si>
    <t>TBM382P</t>
  </si>
  <si>
    <t>METSPOT XL 50</t>
  </si>
  <si>
    <t>Metoprolol Succinate Prolonged Release 50 mg</t>
  </si>
  <si>
    <t>ILO28AH</t>
  </si>
  <si>
    <t>ONVIN 2 ML</t>
  </si>
  <si>
    <t>Ondansetron  2 mg / ml</t>
  </si>
  <si>
    <t>10x2 ML</t>
  </si>
  <si>
    <t>ILO281F</t>
  </si>
  <si>
    <t>ONVIN 20 MG</t>
  </si>
  <si>
    <t>Ondansetron 2mg / ml + Methyl Paraben 1.2mg + Propyl Paraben 0.15mg</t>
  </si>
  <si>
    <t>TBO28AS</t>
  </si>
  <si>
    <t>ONVIN 4 MD TAB</t>
  </si>
  <si>
    <t>Ondansetron 4 mg</t>
  </si>
  <si>
    <t>LQO232D</t>
  </si>
  <si>
    <t>ONVIN NF 30 ML</t>
  </si>
  <si>
    <t>Ondansetron  2 mg / 5 ml</t>
  </si>
  <si>
    <t>TBP272U</t>
  </si>
  <si>
    <t>PENTALOC 40 MG</t>
  </si>
  <si>
    <t>Pantoprazole 40mg</t>
  </si>
  <si>
    <t>PENTALOC</t>
  </si>
  <si>
    <t>TBP372S</t>
  </si>
  <si>
    <t>PENTALOC D FORTE</t>
  </si>
  <si>
    <t>Pantoprazole 40 mg + Domperidone BP10 mg</t>
  </si>
  <si>
    <t>TBP37AS</t>
  </si>
  <si>
    <t>PENTALOC D TAB</t>
  </si>
  <si>
    <t>Pantoprazole 20 mg + Domperidone BP 10 mg</t>
  </si>
  <si>
    <t>CHP372S</t>
  </si>
  <si>
    <t xml:space="preserve">PENTALOC DSR CAP </t>
  </si>
  <si>
    <t>Pantoprazole 40 mg + Domperidone IP 30 mg</t>
  </si>
  <si>
    <t>IPP271A</t>
  </si>
  <si>
    <t>PENTALOC I/V</t>
  </si>
  <si>
    <t>Pantoprazole Sodium for Injection 40mg</t>
  </si>
  <si>
    <t>TBR21EN</t>
  </si>
  <si>
    <t>ROSUBEST 5 TAB</t>
  </si>
  <si>
    <t>Rosuvastatin 5 mg</t>
  </si>
  <si>
    <t>TBR211N</t>
  </si>
  <si>
    <t>ROSUBEST 10 TAB</t>
  </si>
  <si>
    <t>Rosuvastatin 10 mg</t>
  </si>
  <si>
    <t>TBR21CN</t>
  </si>
  <si>
    <t>ROSUBEST 20 TAB</t>
  </si>
  <si>
    <t>Rosuvastatin 20 mg</t>
  </si>
  <si>
    <t>TBR21CP</t>
  </si>
  <si>
    <t>ROSUBEST 40 TAB</t>
  </si>
  <si>
    <t>Rosuvastatin 40 mg</t>
  </si>
  <si>
    <t>10 x 10T</t>
  </si>
  <si>
    <t>TBR212P</t>
  </si>
  <si>
    <t>ROSUBEST F TAB</t>
  </si>
  <si>
    <t>Rosuvastatin 10 mg + Fenofibrate 160 mg</t>
  </si>
  <si>
    <t>TBR213P</t>
  </si>
  <si>
    <t>ROSUBEST F 20 TAB</t>
  </si>
  <si>
    <t>Rosuvastatin 20 mg + Fenofibrate 160 mg</t>
  </si>
  <si>
    <t>CHR211Q</t>
  </si>
  <si>
    <t>ROSUBEST CV 10 CAP</t>
  </si>
  <si>
    <t>Rosuvastatin 10 mg + Clopidogrel 75 mg</t>
  </si>
  <si>
    <t>10 x 10C</t>
  </si>
  <si>
    <t>CHR215Q</t>
  </si>
  <si>
    <t>ROSUBEST CV 20 CAP 10X10 C</t>
  </si>
  <si>
    <t>Rosuvastatin 20 mg + Clopidogrel 75 mg</t>
  </si>
  <si>
    <t>TBR214P</t>
  </si>
  <si>
    <t>ROSUBEST EZ 10 10X10 T</t>
  </si>
  <si>
    <t>Rosuvastatin 10 mg + Ezetimibe 10 mg Tablet</t>
  </si>
  <si>
    <t>10 x 10 T</t>
  </si>
  <si>
    <t>TBR215P</t>
  </si>
  <si>
    <t>ROSUBEST EZ 20 10X10 T</t>
  </si>
  <si>
    <t>Rosuvastatin 20 mg + Ezetimibe 10 mg Tablet</t>
  </si>
  <si>
    <t>CHR216Q</t>
  </si>
  <si>
    <t>NEW ROSUBEST GOLD 10</t>
  </si>
  <si>
    <t>Rosuvastatin 10 mg + Clopidogrel 75 mg + Aspirin 75 mg</t>
  </si>
  <si>
    <t>CHR217Q</t>
  </si>
  <si>
    <t>NEW ROSUBEST GOLD 20</t>
  </si>
  <si>
    <t>Rosuvastatin 20 mg + Clopidogrel 75 mg + Aspirin 75 mg</t>
  </si>
  <si>
    <t>TBR71CS</t>
  </si>
  <si>
    <t>ROXIVISTA 150 TAB</t>
  </si>
  <si>
    <t>Roxithromycin IP 150mg</t>
  </si>
  <si>
    <t>LQS311I</t>
  </si>
  <si>
    <t>STARLON SOLUTION</t>
  </si>
  <si>
    <t>Chlorhexidine Gluconate Soln IP 0.3% v/v + Cetrimide IP 0.6% v/v</t>
  </si>
  <si>
    <t>LQS311S</t>
  </si>
  <si>
    <t>1 LTR</t>
  </si>
  <si>
    <t>1 Ltr</t>
  </si>
  <si>
    <t>TBS20AV</t>
  </si>
  <si>
    <t>STARMOL 500</t>
  </si>
  <si>
    <t>Paracetamol IP 500mg</t>
  </si>
  <si>
    <t>50x10 T</t>
  </si>
  <si>
    <t>TBS20BV</t>
  </si>
  <si>
    <t>STARMOL 650 TAB</t>
  </si>
  <si>
    <t>Paracetamol IP 650mg</t>
  </si>
  <si>
    <t>30x15 T</t>
  </si>
  <si>
    <t>CHS21AS</t>
  </si>
  <si>
    <t>STARPHENICOL 250</t>
  </si>
  <si>
    <t>Chloramphenicol IP  250mg</t>
  </si>
  <si>
    <t>10x2x10 C</t>
  </si>
  <si>
    <t>ILT401A</t>
  </si>
  <si>
    <t>TAZOCAD INJ.</t>
  </si>
  <si>
    <t>Piperacillin 4 gm + Tazobactum 0.5 gm</t>
  </si>
  <si>
    <t>1 Vial</t>
  </si>
  <si>
    <t>TBT459P</t>
  </si>
  <si>
    <t>TENELIKART 20 TAB 10X10 T</t>
  </si>
  <si>
    <t>Teneligliptin 20mg</t>
  </si>
  <si>
    <t>TBT456R</t>
  </si>
  <si>
    <t>TENELIKART M 500</t>
  </si>
  <si>
    <t>Teneligliptin 20mg + Metformin (ER) 500mg</t>
  </si>
  <si>
    <t>TBT457R</t>
  </si>
  <si>
    <t>TENELIKART M 1000</t>
  </si>
  <si>
    <t>Teneligliptin 20mg + Metformin (ER) 1000mg</t>
  </si>
  <si>
    <t>TBT491R</t>
  </si>
  <si>
    <t>TICAKART TAB 10X14 T</t>
  </si>
  <si>
    <t>Ticagrelor Tablet 90 mg</t>
  </si>
  <si>
    <t>14 T</t>
  </si>
  <si>
    <t>10x14T</t>
  </si>
  <si>
    <t>TBT183S</t>
  </si>
  <si>
    <t>TINVISTA 300 TAB</t>
  </si>
  <si>
    <t>Tinidazole IP 300mg</t>
  </si>
  <si>
    <t>TBT183R</t>
  </si>
  <si>
    <t>TINVISTA 500 TAB</t>
  </si>
  <si>
    <t>Tinidazole IP 500mg</t>
  </si>
  <si>
    <t>15X10 T</t>
  </si>
  <si>
    <t>TBT393U</t>
  </si>
  <si>
    <t>TRAMACAD  P TAB</t>
  </si>
  <si>
    <t xml:space="preserve">Tramadol 37.5 mg + Paracetamol 325 mg </t>
  </si>
  <si>
    <t>10x2x15 T</t>
  </si>
  <si>
    <t>TBV271R</t>
  </si>
  <si>
    <t>VILDACAD 50 TAB</t>
  </si>
  <si>
    <t>Vildagliptin50 mg Tablet</t>
  </si>
  <si>
    <t>TBV271P</t>
  </si>
  <si>
    <t>VILDACAD M 500 TAB</t>
  </si>
  <si>
    <t>Vildagliptin50 mg + Metformin 500mg</t>
  </si>
  <si>
    <t>TBV72FS</t>
  </si>
  <si>
    <t>VISTADROX 250 DT TAB</t>
  </si>
  <si>
    <t>Anhydrous Cefadroxil  250mg</t>
  </si>
  <si>
    <t>TBV72CP</t>
  </si>
  <si>
    <t>VISTADROX 500 TAB</t>
  </si>
  <si>
    <t>Anhydrous Cefadroxil  500mg</t>
  </si>
  <si>
    <t>OTC DIVISION</t>
  </si>
  <si>
    <t>DS</t>
  </si>
  <si>
    <t>OCS34QJ</t>
  </si>
  <si>
    <t>CADILA'S FOOT CARE PLUS</t>
  </si>
  <si>
    <t>Ayurvedic Foot Care</t>
  </si>
  <si>
    <t>25 GM</t>
  </si>
  <si>
    <t>OTC</t>
  </si>
  <si>
    <t>ODD073A</t>
  </si>
  <si>
    <t>DP GESIC SPRAY MAXX 2%</t>
  </si>
  <si>
    <t>Diclofenac Dimethylamine 2.32% + Methyl Salicylate &amp; Menthol Topical Spray</t>
  </si>
  <si>
    <t>55 GM</t>
  </si>
  <si>
    <t>6X55 GM</t>
  </si>
  <si>
    <t>LQD07AG</t>
  </si>
  <si>
    <t>DP GESIC PAIN RELIEVER OIL</t>
  </si>
  <si>
    <t>Ayurvedic Pain Oil</t>
  </si>
  <si>
    <t>ODD071A</t>
  </si>
  <si>
    <t>DP GESIC SPRAY</t>
  </si>
  <si>
    <t>Linseed oil 3% w/w + Diclofenac diethylamine 1.16% w/w 
+ Methyl Salicylate 10% w/w + Menthol 5.00% w/w + Propellent q.s. 100% w/w</t>
  </si>
  <si>
    <t>50GM</t>
  </si>
  <si>
    <t>LQS34NI</t>
  </si>
  <si>
    <t>SKINSHINE ALOE VERA GEL</t>
  </si>
  <si>
    <t>Alovera Gel</t>
  </si>
  <si>
    <t>100 ml</t>
  </si>
  <si>
    <t>LQS34PI</t>
  </si>
  <si>
    <t>SKINSHNE ADVANCE MOISTURIZING LOTION</t>
  </si>
  <si>
    <t>Moisturizing Lotion</t>
  </si>
  <si>
    <t>OCS341M</t>
  </si>
  <si>
    <t>SKINSHINE NEEM &amp; ALOEVERA FACE WASH</t>
  </si>
  <si>
    <t>Neem &amp; AloeVera Face Wash</t>
  </si>
  <si>
    <t>60 GM</t>
  </si>
  <si>
    <t>OCS342M</t>
  </si>
  <si>
    <t>SKINSHINE PAPAYA FACE WASH</t>
  </si>
  <si>
    <t>Papaya Face Wash</t>
  </si>
  <si>
    <t>OCS341P</t>
  </si>
  <si>
    <t>SKINSHINE SOAP</t>
  </si>
  <si>
    <t>Anti Acne &amp; Fairness Soap</t>
  </si>
  <si>
    <t>1 NO.</t>
  </si>
  <si>
    <t>75 GM</t>
  </si>
  <si>
    <t>OCS349I</t>
  </si>
  <si>
    <t>SKINSHINE ADVANCE DAY CREAM</t>
  </si>
  <si>
    <t>OCTINOXATE, NIACINAMIDE (NICOTINAMIDE/VIT B3), GLYCOLIC ACID, KOJIC ACID, B-ARBUTIN, MULBERRY EXTRACT, ALLANTOIN, ALOE VERA</t>
  </si>
  <si>
    <t>TUBE</t>
  </si>
  <si>
    <t>OCS34BP</t>
  </si>
  <si>
    <t>SKINSHINE BEAUTY &amp; MOISTURISING SOAP</t>
  </si>
  <si>
    <t>Beauty and Moisturising Soap</t>
  </si>
  <si>
    <t>LQS34MI</t>
  </si>
  <si>
    <t>SKINSHINE CALAMINE LOTION</t>
  </si>
  <si>
    <t>Skinshine Calamine Lotion</t>
  </si>
  <si>
    <t>OCS34DP</t>
  </si>
  <si>
    <t>SKINSHINE NATURAL SOAP</t>
  </si>
  <si>
    <t>Natural Soap</t>
  </si>
  <si>
    <t>OCS345M</t>
  </si>
  <si>
    <t>SKINSHINE STRAWBERRY FACE WASH</t>
  </si>
  <si>
    <t>Strawberry Face Wash</t>
  </si>
  <si>
    <t>LQS34II</t>
  </si>
  <si>
    <t>SKINSHINE SUNSCREEN LOTION</t>
  </si>
  <si>
    <t>Sunscreen Lotion 30 SPF</t>
  </si>
  <si>
    <t>LQS34LI</t>
  </si>
  <si>
    <t>SKINSHINE SUNSCREEN LOTION SPF 50</t>
  </si>
  <si>
    <t>Zinc Oxide + Titanium Dioxide + Liquorice Extract + Vitamin E</t>
  </si>
  <si>
    <t>TBV176Q</t>
  </si>
  <si>
    <t>VISTAGRA 100MG TAB</t>
  </si>
  <si>
    <t>Sildenafil Citrate 100mg</t>
  </si>
  <si>
    <t>30X4 T</t>
  </si>
  <si>
    <t>TBV172R</t>
  </si>
  <si>
    <t>VISTAGRA D GOLD TAB 20X4 T</t>
  </si>
  <si>
    <t>Sildenafil
50 mg + Dapoxetine 30 mg</t>
  </si>
  <si>
    <t>20X4 T</t>
  </si>
  <si>
    <t>CSV761N</t>
  </si>
  <si>
    <t>VITACHAMP SOFT CAP</t>
  </si>
  <si>
    <t>50 mg + Dapoxetine 30 mg</t>
  </si>
  <si>
    <t>CSV231N</t>
  </si>
  <si>
    <t>VITSENG SOFT CAP</t>
  </si>
  <si>
    <t>Multivitamin with Ginseng Softgel Capsules</t>
  </si>
  <si>
    <t>10x10C</t>
  </si>
  <si>
    <t>CSV232N</t>
  </si>
  <si>
    <t>VITSENG 4G CAP</t>
  </si>
  <si>
    <t>LQZ112I</t>
  </si>
  <si>
    <t>ZEROCOF AT SYRUP</t>
  </si>
  <si>
    <t>Ambroxol Hcl 15mg + Terbutalin Sulphate 1.25mg + Guaiphenesin  IP 50mg</t>
  </si>
  <si>
    <t>LQZ113I</t>
  </si>
  <si>
    <t>ZEROCOF LS SYRUP</t>
  </si>
  <si>
    <t>Levosalbutamol 1mg + Ambroxol Hcl 30mg + Guaiphenesin  IP 50mg</t>
  </si>
  <si>
    <t>INJECTA DIVISION</t>
  </si>
  <si>
    <t>CI</t>
  </si>
  <si>
    <t>ILA28CB</t>
  </si>
  <si>
    <t>AMCIN 500MG INJ.</t>
  </si>
  <si>
    <t>Amikacin 500mg Inj.</t>
  </si>
  <si>
    <t>IPA31AA</t>
  </si>
  <si>
    <t>AXONE 250</t>
  </si>
  <si>
    <t>Ceftriaxone 250mg</t>
  </si>
  <si>
    <t>IPA31CA</t>
  </si>
  <si>
    <t>AXONE 500</t>
  </si>
  <si>
    <t>Ceftriaxone 500mg</t>
  </si>
  <si>
    <t>IPA31BA</t>
  </si>
  <si>
    <t>AXONE-1000</t>
  </si>
  <si>
    <t>Ceftriaxone 1000mg</t>
  </si>
  <si>
    <t>IPA31DA</t>
  </si>
  <si>
    <t>AXONE SB INJ.</t>
  </si>
  <si>
    <t xml:space="preserve">Ceftriaxone 1 gm + Sulbactum 500 mg </t>
  </si>
  <si>
    <t>ILB171B</t>
  </si>
  <si>
    <t>BETNISTAR INJ.</t>
  </si>
  <si>
    <t>Betamethasone Injection 4 mg</t>
  </si>
  <si>
    <t>Ampule</t>
  </si>
  <si>
    <t>20x5x1 ml</t>
  </si>
  <si>
    <t>IPCAF1A</t>
  </si>
  <si>
    <t>CADTAZO INJ.</t>
  </si>
  <si>
    <t>ILD212F</t>
  </si>
  <si>
    <t>DEXASONE INJ. 10 ML</t>
  </si>
  <si>
    <t>10 ml</t>
  </si>
  <si>
    <t>ILD213K</t>
  </si>
  <si>
    <t>DEXASONE INJ. 20 ML</t>
  </si>
  <si>
    <t>20 ml</t>
  </si>
  <si>
    <t>ILD071A</t>
  </si>
  <si>
    <t>DP GESIC 75MG INJ</t>
  </si>
  <si>
    <t>Diclofenac Sodium Injection IP 75 mg/ml</t>
  </si>
  <si>
    <t>1 ML</t>
  </si>
  <si>
    <t>1 ml</t>
  </si>
  <si>
    <t>ILD072C</t>
  </si>
  <si>
    <t>DP GESIC 3ML INJ</t>
  </si>
  <si>
    <t>Diclofenac Sodium Injection IP  25mg /ml (3 ml Injection )</t>
  </si>
  <si>
    <t>3 ML</t>
  </si>
  <si>
    <t>ILO39AK</t>
  </si>
  <si>
    <t>DROTACAD INJ.  100X2 ML</t>
  </si>
  <si>
    <t>Drotaverine Hydrochloride Inj. 20mg/ml</t>
  </si>
  <si>
    <t>2 ml</t>
  </si>
  <si>
    <t>100x2 ml</t>
  </si>
  <si>
    <t>ILG112F</t>
  </si>
  <si>
    <t>GENKA INJ. 10 ML</t>
  </si>
  <si>
    <t>Gentamicin Sulphate IP eq to Gentamicin base 40mg/ml</t>
  </si>
  <si>
    <t>ILG113K</t>
  </si>
  <si>
    <t>GENKA INJ. 20ML</t>
  </si>
  <si>
    <t>20ml</t>
  </si>
  <si>
    <t>ILD24CH</t>
  </si>
  <si>
    <t>NEW DECANANDROBOL 25MG INJ</t>
  </si>
  <si>
    <t>Nandrolone Decanoate IP 25mg + Benzyl alcohol 1% v/v + Arachis oil q.s.</t>
  </si>
  <si>
    <t>1 X 1 ML</t>
  </si>
  <si>
    <t>ILD24DH</t>
  </si>
  <si>
    <t>NEW DECANANDROBOL 50MG INJ</t>
  </si>
  <si>
    <t>Nandrolone Decanoate IP 50mg + Benzyl alcohol 1% v/v + Arachis oil q.s.</t>
  </si>
  <si>
    <t>ILL22AM</t>
  </si>
  <si>
    <t>LIGNOCAINE INJ</t>
  </si>
  <si>
    <t>Lignocaine hydrochloride IP 21.3mg Inj</t>
  </si>
  <si>
    <t>IPS261A</t>
  </si>
  <si>
    <t>STARCORT 100MG INJ. VIAL+WFI</t>
  </si>
  <si>
    <t>Hydrocortisone Sodium Succinate injection I.P 100 mg</t>
  </si>
  <si>
    <t>100MG</t>
  </si>
  <si>
    <t>ILS201B</t>
  </si>
  <si>
    <t>STARMOL INJ</t>
  </si>
  <si>
    <t>Paracetamol Injection 150 mg/ml</t>
  </si>
  <si>
    <t>IPS25BA</t>
  </si>
  <si>
    <t>SULBANEX 1.5G INJ</t>
  </si>
  <si>
    <t>Cefoperazone &amp; Sulbactam for Injection (1000mg+</t>
  </si>
  <si>
    <t>1.5 G</t>
  </si>
  <si>
    <t>1.5G</t>
  </si>
  <si>
    <t>ILT391O</t>
  </si>
  <si>
    <t>TRAMACAD INJ  50X2 ML</t>
  </si>
  <si>
    <t>Tramadol Hydrochloride  Inj.</t>
  </si>
  <si>
    <t>50X2 ml</t>
  </si>
  <si>
    <t>ILT511P</t>
  </si>
  <si>
    <t>TRAXOBEST INJ.</t>
  </si>
  <si>
    <t>Tranexamic Acid Injection IP 100mg/ml</t>
  </si>
  <si>
    <t>50x5 ml</t>
  </si>
  <si>
    <t>ILT091B</t>
  </si>
  <si>
    <t>TRIGAN-D INJ.</t>
  </si>
  <si>
    <t>Dicyclomine Injection 10 mg/ml</t>
  </si>
  <si>
    <t>10x2 ml</t>
  </si>
  <si>
    <t>SKINSHINE DIVISION</t>
  </si>
  <si>
    <t>CS</t>
  </si>
  <si>
    <t>OCS341G</t>
  </si>
  <si>
    <t>SKINSHINE CREAM</t>
  </si>
  <si>
    <t>Hydroquinone 2.0%w/w, Tretinoin 0.025% w/w &amp; Mometasone Furoate0.1% w/w.</t>
  </si>
  <si>
    <t>15 GM</t>
  </si>
  <si>
    <t>SKINSHINE</t>
  </si>
  <si>
    <t>OCS341J</t>
  </si>
  <si>
    <t xml:space="preserve"> </t>
  </si>
  <si>
    <t>CIPRODAC-500 TAABLET</t>
  </si>
  <si>
    <t>LANDING</t>
  </si>
  <si>
    <t>LANDING SCHEME</t>
  </si>
  <si>
    <t>ON Inv</t>
  </si>
  <si>
    <t>scheme</t>
  </si>
  <si>
    <t>In CN</t>
  </si>
  <si>
    <t>net</t>
  </si>
  <si>
    <t>landing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</si>
</sst>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Times New Roman"/>
      <family val="1"/>
    </font>
    <font>
      <sz val="10"/>
      <name val="Courier"/>
      <family val="3"/>
    </font>
    <font>
      <b/>
      <u/>
      <sz val="10"/>
      <name val="Times New Roman"/>
      <family val="1"/>
    </font>
    <font>
      <b/>
      <sz val="8"/>
      <color rgb="FFFF0000"/>
      <name val="Times New Roman"/>
      <family val="1"/>
    </font>
    <font>
      <sz val="8"/>
      <name val="Arial"/>
      <family val="2"/>
    </font>
    <font>
      <b/>
      <sz val="8"/>
      <name val="Arial"/>
      <family val="2"/>
    </font>
    <font>
      <b/>
      <sz val="8"/>
      <color indexed="10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sz val="11"/>
      <name val="Calibri"/>
      <family val="2"/>
      <scheme val="minor"/>
    </font>
    <font>
      <sz val="8"/>
      <color rgb="FFFF000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sz val="1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3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vertical="center"/>
    </xf>
    <xf numFmtId="2" fontId="2" fillId="0" borderId="0" xfId="0" applyNumberFormat="1" applyFont="1"/>
    <xf numFmtId="0" fontId="6" fillId="0" borderId="0" xfId="0" applyFont="1"/>
    <xf numFmtId="0" fontId="6" fillId="0" borderId="0" xfId="0" applyFont="1" applyAlignment="1">
      <alignment horizontal="center"/>
    </xf>
    <xf numFmtId="0" fontId="0" fillId="0" borderId="0" xfId="0" applyAlignment="1">
      <alignment horizontal="left" vertical="center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/>
    </xf>
    <xf numFmtId="0" fontId="7" fillId="0" borderId="6" xfId="0" applyFont="1" applyBorder="1" applyAlignment="1">
      <alignment horizontal="center" vertical="center"/>
    </xf>
    <xf numFmtId="0" fontId="7" fillId="0" borderId="7" xfId="0" applyFont="1" applyBorder="1" applyAlignment="1">
      <alignment horizontal="center"/>
    </xf>
    <xf numFmtId="0" fontId="7" fillId="0" borderId="8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7" fillId="0" borderId="11" xfId="0" applyFon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0" fillId="0" borderId="1" xfId="0" applyBorder="1"/>
    <xf numFmtId="0" fontId="8" fillId="0" borderId="3" xfId="0" applyFont="1" applyBorder="1" applyAlignment="1">
      <alignment horizontal="left" vertical="center"/>
    </xf>
    <xf numFmtId="0" fontId="7" fillId="0" borderId="3" xfId="0" applyFont="1" applyBorder="1" applyAlignment="1">
      <alignment horizontal="center" vertical="center"/>
    </xf>
    <xf numFmtId="2" fontId="9" fillId="2" borderId="3" xfId="0" applyNumberFormat="1" applyFont="1" applyFill="1" applyBorder="1" applyAlignment="1">
      <alignment horizontal="center"/>
    </xf>
    <xf numFmtId="2" fontId="6" fillId="2" borderId="3" xfId="0" applyNumberFormat="1" applyFont="1" applyFill="1" applyBorder="1" applyAlignment="1">
      <alignment horizontal="center"/>
    </xf>
    <xf numFmtId="2" fontId="6" fillId="2" borderId="2" xfId="0" applyNumberFormat="1" applyFont="1" applyFill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1" fillId="2" borderId="12" xfId="0" applyFont="1" applyFill="1" applyBorder="1" applyAlignment="1">
      <alignment horizontal="center"/>
    </xf>
    <xf numFmtId="0" fontId="6" fillId="2" borderId="13" xfId="0" applyFont="1" applyFill="1" applyBorder="1"/>
    <xf numFmtId="1" fontId="6" fillId="2" borderId="13" xfId="0" applyNumberFormat="1" applyFont="1" applyFill="1" applyBorder="1" applyAlignment="1">
      <alignment horizontal="center"/>
    </xf>
    <xf numFmtId="0" fontId="6" fillId="2" borderId="13" xfId="0" applyFont="1" applyFill="1" applyBorder="1" applyAlignment="1">
      <alignment horizontal="center"/>
    </xf>
    <xf numFmtId="2" fontId="6" fillId="2" borderId="13" xfId="0" applyNumberFormat="1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1" fontId="7" fillId="2" borderId="14" xfId="0" applyNumberFormat="1" applyFont="1" applyFill="1" applyBorder="1" applyAlignment="1">
      <alignment horizontal="center" vertical="center"/>
    </xf>
    <xf numFmtId="1" fontId="6" fillId="2" borderId="13" xfId="0" applyNumberFormat="1" applyFont="1" applyFill="1" applyBorder="1" applyAlignment="1">
      <alignment horizontal="center" vertical="center"/>
    </xf>
    <xf numFmtId="2" fontId="6" fillId="2" borderId="13" xfId="0" applyNumberFormat="1" applyFont="1" applyFill="1" applyBorder="1" applyAlignment="1">
      <alignment vertical="center"/>
    </xf>
    <xf numFmtId="0" fontId="11" fillId="2" borderId="0" xfId="0" applyFont="1" applyFill="1"/>
    <xf numFmtId="2" fontId="7" fillId="3" borderId="13" xfId="0" applyNumberFormat="1" applyFont="1" applyFill="1" applyBorder="1" applyAlignment="1">
      <alignment horizontal="center" vertical="center"/>
    </xf>
    <xf numFmtId="0" fontId="11" fillId="2" borderId="12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vertical="center"/>
    </xf>
    <xf numFmtId="0" fontId="6" fillId="2" borderId="13" xfId="0" applyFont="1" applyFill="1" applyBorder="1" applyAlignment="1">
      <alignment horizontal="left" wrapText="1"/>
    </xf>
    <xf numFmtId="0" fontId="12" fillId="5" borderId="13" xfId="0" applyFont="1" applyFill="1" applyBorder="1"/>
    <xf numFmtId="0" fontId="6" fillId="4" borderId="13" xfId="0" applyFont="1" applyFill="1" applyBorder="1" applyAlignment="1">
      <alignment vertical="center"/>
    </xf>
    <xf numFmtId="1" fontId="6" fillId="4" borderId="13" xfId="0" applyNumberFormat="1" applyFont="1" applyFill="1" applyBorder="1" applyAlignment="1">
      <alignment horizontal="center" vertical="center"/>
    </xf>
    <xf numFmtId="0" fontId="7" fillId="4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justify" vertical="center"/>
    </xf>
    <xf numFmtId="2" fontId="6" fillId="2" borderId="13" xfId="0" applyNumberFormat="1" applyFont="1" applyFill="1" applyBorder="1" applyAlignment="1">
      <alignment horizontal="center"/>
    </xf>
    <xf numFmtId="0" fontId="11" fillId="3" borderId="12" xfId="0" applyFont="1" applyFill="1" applyBorder="1" applyAlignment="1">
      <alignment horizontal="center"/>
    </xf>
    <xf numFmtId="0" fontId="6" fillId="3" borderId="13" xfId="0" applyFont="1" applyFill="1" applyBorder="1"/>
    <xf numFmtId="1" fontId="6" fillId="3" borderId="13" xfId="0" applyNumberFormat="1" applyFont="1" applyFill="1" applyBorder="1" applyAlignment="1">
      <alignment horizontal="center"/>
    </xf>
    <xf numFmtId="0" fontId="6" fillId="3" borderId="13" xfId="0" applyFont="1" applyFill="1" applyBorder="1" applyAlignment="1">
      <alignment horizontal="center"/>
    </xf>
    <xf numFmtId="2" fontId="6" fillId="3" borderId="13" xfId="0" applyNumberFormat="1" applyFont="1" applyFill="1" applyBorder="1" applyAlignment="1">
      <alignment horizontal="center" vertical="center"/>
    </xf>
    <xf numFmtId="0" fontId="6" fillId="3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wrapText="1"/>
    </xf>
    <xf numFmtId="0" fontId="7" fillId="2" borderId="13" xfId="0" applyFont="1" applyFill="1" applyBorder="1"/>
    <xf numFmtId="0" fontId="7" fillId="2" borderId="13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11" fillId="2" borderId="0" xfId="0" applyFont="1" applyFill="1" applyAlignment="1">
      <alignment vertical="center"/>
    </xf>
    <xf numFmtId="0" fontId="6" fillId="3" borderId="13" xfId="0" applyFont="1" applyFill="1" applyBorder="1" applyAlignment="1">
      <alignment vertical="center"/>
    </xf>
    <xf numFmtId="0" fontId="6" fillId="6" borderId="13" xfId="0" applyFont="1" applyFill="1" applyBorder="1" applyAlignment="1">
      <alignment vertical="center"/>
    </xf>
    <xf numFmtId="1" fontId="6" fillId="6" borderId="13" xfId="0" applyNumberFormat="1" applyFont="1" applyFill="1" applyBorder="1" applyAlignment="1">
      <alignment horizontal="center" vertical="center"/>
    </xf>
    <xf numFmtId="0" fontId="12" fillId="5" borderId="13" xfId="0" applyFont="1" applyFill="1" applyBorder="1" applyAlignment="1">
      <alignment vertical="center"/>
    </xf>
    <xf numFmtId="0" fontId="6" fillId="2" borderId="0" xfId="0" applyFont="1" applyFill="1" applyAlignment="1">
      <alignment vertical="center"/>
    </xf>
    <xf numFmtId="0" fontId="7" fillId="2" borderId="13" xfId="0" applyFont="1" applyFill="1" applyBorder="1" applyAlignment="1">
      <alignment vertical="center"/>
    </xf>
    <xf numFmtId="0" fontId="11" fillId="2" borderId="13" xfId="0" applyFont="1" applyFill="1" applyBorder="1" applyAlignment="1">
      <alignment vertical="center"/>
    </xf>
    <xf numFmtId="0" fontId="15" fillId="2" borderId="13" xfId="0" applyFont="1" applyFill="1" applyBorder="1" applyAlignment="1">
      <alignment vertical="center" wrapText="1"/>
    </xf>
    <xf numFmtId="0" fontId="11" fillId="2" borderId="5" xfId="0" applyFont="1" applyFill="1" applyBorder="1" applyAlignment="1">
      <alignment vertical="center"/>
    </xf>
    <xf numFmtId="0" fontId="6" fillId="2" borderId="8" xfId="0" applyFont="1" applyFill="1" applyBorder="1" applyAlignment="1">
      <alignment vertical="center"/>
    </xf>
    <xf numFmtId="1" fontId="6" fillId="2" borderId="8" xfId="0" applyNumberFormat="1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2" fontId="6" fillId="2" borderId="8" xfId="0" applyNumberFormat="1" applyFont="1" applyFill="1" applyBorder="1" applyAlignment="1">
      <alignment horizontal="center" vertical="center"/>
    </xf>
    <xf numFmtId="1" fontId="6" fillId="2" borderId="15" xfId="0" applyNumberFormat="1" applyFont="1" applyFill="1" applyBorder="1" applyAlignment="1">
      <alignment horizontal="center" vertical="center"/>
    </xf>
    <xf numFmtId="2" fontId="6" fillId="2" borderId="8" xfId="0" applyNumberFormat="1" applyFont="1" applyFill="1" applyBorder="1" applyAlignment="1">
      <alignment vertical="center"/>
    </xf>
    <xf numFmtId="0" fontId="7" fillId="0" borderId="16" xfId="0" applyFont="1" applyBorder="1" applyAlignment="1">
      <alignment horizontal="center" vertical="center" wrapText="1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 wrapText="1"/>
    </xf>
    <xf numFmtId="0" fontId="7" fillId="0" borderId="18" xfId="0" applyFont="1" applyBorder="1" applyAlignment="1">
      <alignment horizontal="center"/>
    </xf>
    <xf numFmtId="0" fontId="7" fillId="0" borderId="19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7" fillId="0" borderId="17" xfId="0" applyFont="1" applyBorder="1" applyAlignment="1">
      <alignment horizontal="center"/>
    </xf>
    <xf numFmtId="2" fontId="6" fillId="2" borderId="14" xfId="0" applyNumberFormat="1" applyFont="1" applyFill="1" applyBorder="1" applyAlignment="1">
      <alignment horizontal="center" vertical="center"/>
    </xf>
    <xf numFmtId="2" fontId="6" fillId="2" borderId="15" xfId="0" applyNumberFormat="1" applyFont="1" applyFill="1" applyBorder="1" applyAlignment="1">
      <alignment horizontal="center" vertical="center"/>
    </xf>
    <xf numFmtId="2" fontId="6" fillId="2" borderId="22" xfId="0" applyNumberFormat="1" applyFont="1" applyFill="1" applyBorder="1" applyAlignment="1">
      <alignment horizontal="center"/>
    </xf>
    <xf numFmtId="2" fontId="6" fillId="2" borderId="6" xfId="0" applyNumberFormat="1" applyFont="1" applyFill="1" applyBorder="1" applyAlignment="1">
      <alignment horizontal="center" vertical="center"/>
    </xf>
    <xf numFmtId="2" fontId="6" fillId="2" borderId="0" xfId="0" applyNumberFormat="1" applyFont="1" applyFill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2" fontId="7" fillId="3" borderId="13" xfId="0" applyNumberFormat="1" applyFont="1" applyFill="1" applyBorder="1" applyAlignment="1">
      <alignment horizontal="center" vertical="center" wrapText="1"/>
    </xf>
    <xf numFmtId="0" fontId="5" fillId="3" borderId="0" xfId="0" applyFont="1" applyFill="1"/>
    <xf numFmtId="0" fontId="6" fillId="3" borderId="0" xfId="0" applyFont="1" applyFill="1"/>
    <xf numFmtId="0" fontId="7" fillId="3" borderId="3" xfId="0" applyFont="1" applyFill="1" applyBorder="1" applyAlignment="1">
      <alignment horizontal="center"/>
    </xf>
    <xf numFmtId="0" fontId="7" fillId="3" borderId="7" xfId="0" applyFont="1" applyFill="1" applyBorder="1" applyAlignment="1">
      <alignment horizontal="center"/>
    </xf>
    <xf numFmtId="0" fontId="7" fillId="3" borderId="18" xfId="0" applyFont="1" applyFill="1" applyBorder="1" applyAlignment="1">
      <alignment horizontal="center"/>
    </xf>
    <xf numFmtId="2" fontId="7" fillId="3" borderId="3" xfId="0" applyNumberFormat="1" applyFont="1" applyFill="1" applyBorder="1" applyAlignment="1">
      <alignment horizontal="center"/>
    </xf>
    <xf numFmtId="2" fontId="13" fillId="3" borderId="13" xfId="0" quotePrefix="1" applyNumberFormat="1" applyFont="1" applyFill="1" applyBorder="1" applyAlignment="1">
      <alignment horizontal="center" vertical="center"/>
    </xf>
    <xf numFmtId="2" fontId="7" fillId="3" borderId="13" xfId="0" quotePrefix="1" applyNumberFormat="1" applyFont="1" applyFill="1" applyBorder="1" applyAlignment="1">
      <alignment horizontal="center" vertical="center"/>
    </xf>
    <xf numFmtId="2" fontId="14" fillId="3" borderId="13" xfId="0" quotePrefix="1" applyNumberFormat="1" applyFont="1" applyFill="1" applyBorder="1" applyAlignment="1">
      <alignment horizontal="center" vertical="center"/>
    </xf>
    <xf numFmtId="2" fontId="6" fillId="3" borderId="8" xfId="0" applyNumberFormat="1" applyFont="1" applyFill="1" applyBorder="1" applyAlignment="1">
      <alignment horizontal="center" vertical="center"/>
    </xf>
    <xf numFmtId="0" fontId="0" fillId="3" borderId="0" xfId="0" applyFill="1"/>
    <xf numFmtId="0" fontId="5" fillId="3" borderId="0" xfId="0" applyFont="1" applyFill="1" applyAlignment="1">
      <alignment wrapText="1"/>
    </xf>
    <xf numFmtId="0" fontId="6" fillId="3" borderId="0" xfId="0" applyFont="1" applyFill="1" applyAlignment="1">
      <alignment wrapText="1"/>
    </xf>
    <xf numFmtId="0" fontId="7" fillId="3" borderId="3" xfId="0" applyFont="1" applyFill="1" applyBorder="1" applyAlignment="1">
      <alignment horizontal="center" wrapText="1"/>
    </xf>
    <xf numFmtId="0" fontId="7" fillId="3" borderId="7" xfId="0" applyFont="1" applyFill="1" applyBorder="1" applyAlignment="1">
      <alignment horizontal="center" wrapText="1"/>
    </xf>
    <xf numFmtId="0" fontId="7" fillId="3" borderId="18" xfId="0" applyFont="1" applyFill="1" applyBorder="1" applyAlignment="1">
      <alignment horizontal="center" wrapText="1"/>
    </xf>
    <xf numFmtId="2" fontId="7" fillId="3" borderId="3" xfId="0" applyNumberFormat="1" applyFont="1" applyFill="1" applyBorder="1" applyAlignment="1">
      <alignment horizontal="center" wrapText="1"/>
    </xf>
    <xf numFmtId="2" fontId="6" fillId="3" borderId="13" xfId="0" applyNumberFormat="1" applyFont="1" applyFill="1" applyBorder="1" applyAlignment="1">
      <alignment horizontal="center" vertical="center" wrapText="1"/>
    </xf>
    <xf numFmtId="2" fontId="13" fillId="3" borderId="13" xfId="0" quotePrefix="1" applyNumberFormat="1" applyFont="1" applyFill="1" applyBorder="1" applyAlignment="1">
      <alignment horizontal="center" vertical="center" wrapText="1"/>
    </xf>
    <xf numFmtId="2" fontId="7" fillId="3" borderId="13" xfId="0" quotePrefix="1" applyNumberFormat="1" applyFont="1" applyFill="1" applyBorder="1" applyAlignment="1">
      <alignment horizontal="center" vertical="center" wrapText="1"/>
    </xf>
    <xf numFmtId="2" fontId="14" fillId="3" borderId="13" xfId="0" quotePrefix="1" applyNumberFormat="1" applyFont="1" applyFill="1" applyBorder="1" applyAlignment="1">
      <alignment horizontal="center" vertical="center" wrapText="1"/>
    </xf>
    <xf numFmtId="2" fontId="6" fillId="3" borderId="8" xfId="0" applyNumberFormat="1" applyFont="1" applyFill="1" applyBorder="1" applyAlignment="1">
      <alignment horizontal="center" vertical="center" wrapText="1"/>
    </xf>
    <xf numFmtId="0" fontId="0" fillId="3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73"/>
  <sheetViews>
    <sheetView tabSelected="1" topLeftCell="D3" workbookViewId="0">
      <selection activeCell="Q7" sqref="Q7"/>
    </sheetView>
  </sheetViews>
  <sheetFormatPr defaultRowHeight="15" x14ac:dyDescent="0.25"/>
  <cols>
    <col min="4" max="4" width="25.7109375" customWidth="1"/>
    <col min="5" max="5" width="33.42578125" customWidth="1"/>
    <col min="14" max="14" width="0" style="110" hidden="1" customWidth="1"/>
    <col min="15" max="17" width="9.140625" style="122"/>
  </cols>
  <sheetData>
    <row r="1" spans="1:29" x14ac:dyDescent="0.25">
      <c r="B1" s="5" t="s">
        <v>0</v>
      </c>
      <c r="C1" s="5"/>
      <c r="D1" s="6"/>
      <c r="E1" s="1"/>
      <c r="F1" s="1"/>
      <c r="G1" s="1"/>
      <c r="H1" s="1"/>
      <c r="I1" s="2"/>
      <c r="L1" s="2"/>
      <c r="M1" s="1"/>
      <c r="N1" s="100"/>
      <c r="O1" s="111"/>
      <c r="P1" s="111"/>
      <c r="Q1" s="111"/>
      <c r="R1" s="1"/>
      <c r="S1" s="1"/>
      <c r="T1" s="80"/>
      <c r="U1" s="1"/>
      <c r="W1" s="1"/>
      <c r="X1" s="3"/>
      <c r="Y1" s="3"/>
      <c r="AA1" s="4"/>
    </row>
    <row r="2" spans="1:29" ht="15.75" thickBot="1" x14ac:dyDescent="0.3">
      <c r="B2" s="7"/>
      <c r="C2" s="7"/>
      <c r="E2" s="7"/>
      <c r="F2" s="7"/>
      <c r="G2" s="7"/>
      <c r="H2" s="7"/>
      <c r="I2" s="8"/>
      <c r="J2" s="8"/>
      <c r="K2" s="8"/>
      <c r="L2" s="8"/>
      <c r="M2" s="7"/>
      <c r="N2" s="101"/>
      <c r="O2" s="112"/>
      <c r="P2" s="112"/>
      <c r="Q2" s="112"/>
      <c r="R2" s="7"/>
      <c r="S2" s="7"/>
      <c r="T2" s="81"/>
      <c r="U2" s="7"/>
      <c r="V2" s="7"/>
      <c r="W2" s="7"/>
      <c r="X2" s="7"/>
      <c r="Y2" s="7"/>
      <c r="AA2" s="9"/>
    </row>
    <row r="3" spans="1:29" ht="15.75" customHeight="1" thickBot="1" x14ac:dyDescent="0.3">
      <c r="A3" s="90" t="s">
        <v>1</v>
      </c>
      <c r="B3" s="92" t="s">
        <v>2</v>
      </c>
      <c r="C3" s="10"/>
      <c r="D3" s="88" t="s">
        <v>3</v>
      </c>
      <c r="E3" s="88" t="s">
        <v>4</v>
      </c>
      <c r="F3" s="88" t="s">
        <v>5</v>
      </c>
      <c r="G3" s="88" t="s">
        <v>6</v>
      </c>
      <c r="H3" s="88" t="s">
        <v>7</v>
      </c>
      <c r="I3" s="88" t="s">
        <v>8</v>
      </c>
      <c r="J3" s="97" t="s">
        <v>9</v>
      </c>
      <c r="K3" s="97" t="s">
        <v>10</v>
      </c>
      <c r="L3" s="97" t="s">
        <v>11</v>
      </c>
      <c r="M3" s="11" t="s">
        <v>12</v>
      </c>
      <c r="N3" s="102" t="s">
        <v>13</v>
      </c>
      <c r="O3" s="113" t="s">
        <v>937</v>
      </c>
      <c r="P3" s="113" t="s">
        <v>939</v>
      </c>
      <c r="Q3" s="113" t="s">
        <v>941</v>
      </c>
      <c r="R3" s="11" t="s">
        <v>14</v>
      </c>
      <c r="S3" s="82" t="s">
        <v>14</v>
      </c>
      <c r="T3" s="82" t="s">
        <v>14</v>
      </c>
      <c r="U3" s="80" t="s">
        <v>14</v>
      </c>
      <c r="V3" s="92" t="s">
        <v>15</v>
      </c>
      <c r="W3" s="94" t="s">
        <v>16</v>
      </c>
      <c r="X3" s="7"/>
      <c r="Y3" s="7"/>
      <c r="AA3" s="9"/>
    </row>
    <row r="4" spans="1:29" ht="24" thickBot="1" x14ac:dyDescent="0.3">
      <c r="A4" s="91" t="s">
        <v>17</v>
      </c>
      <c r="B4" s="93"/>
      <c r="C4" s="12"/>
      <c r="D4" s="89"/>
      <c r="E4" s="89"/>
      <c r="F4" s="89"/>
      <c r="G4" s="89"/>
      <c r="H4" s="96"/>
      <c r="I4" s="89"/>
      <c r="J4" s="98"/>
      <c r="K4" s="98"/>
      <c r="L4" s="98"/>
      <c r="M4" s="13" t="s">
        <v>18</v>
      </c>
      <c r="N4" s="103" t="s">
        <v>19</v>
      </c>
      <c r="O4" s="114" t="s">
        <v>938</v>
      </c>
      <c r="P4" s="114" t="s">
        <v>940</v>
      </c>
      <c r="Q4" s="114" t="s">
        <v>942</v>
      </c>
      <c r="R4" s="14" t="s">
        <v>18</v>
      </c>
      <c r="S4" s="82" t="s">
        <v>936</v>
      </c>
      <c r="T4" s="24">
        <v>10</v>
      </c>
      <c r="U4" s="81">
        <v>15</v>
      </c>
      <c r="V4" s="93"/>
      <c r="W4" s="95" t="s">
        <v>16</v>
      </c>
      <c r="X4" s="15" t="s">
        <v>20</v>
      </c>
      <c r="Y4" s="16" t="s">
        <v>21</v>
      </c>
      <c r="AA4" s="17" t="s">
        <v>22</v>
      </c>
      <c r="AB4" s="18" t="s">
        <v>23</v>
      </c>
      <c r="AC4" s="18" t="s">
        <v>24</v>
      </c>
    </row>
    <row r="5" spans="1:29" ht="15.75" thickBot="1" x14ac:dyDescent="0.3">
      <c r="A5" s="72"/>
      <c r="B5" s="73"/>
      <c r="C5" s="73"/>
      <c r="D5" s="74"/>
      <c r="E5" s="74"/>
      <c r="F5" s="74"/>
      <c r="G5" s="74"/>
      <c r="H5" s="74"/>
      <c r="I5" s="74"/>
      <c r="J5" s="75"/>
      <c r="K5" s="75"/>
      <c r="L5" s="75"/>
      <c r="M5" s="76"/>
      <c r="N5" s="104"/>
      <c r="O5" s="115"/>
      <c r="P5" s="115"/>
      <c r="Q5" s="115"/>
      <c r="R5" s="76"/>
      <c r="S5" s="82"/>
      <c r="T5" s="83"/>
      <c r="U5" s="82"/>
      <c r="V5" s="73"/>
      <c r="W5" s="77"/>
      <c r="X5" s="78"/>
      <c r="Y5" s="79"/>
      <c r="AA5" s="17"/>
      <c r="AB5" s="18"/>
      <c r="AC5" s="18"/>
    </row>
    <row r="6" spans="1:29" x14ac:dyDescent="0.25">
      <c r="A6" s="19"/>
      <c r="B6" s="20" t="s">
        <v>25</v>
      </c>
      <c r="C6" s="20"/>
      <c r="D6" s="21"/>
      <c r="E6" s="21"/>
      <c r="F6" s="21"/>
      <c r="G6" s="21"/>
      <c r="H6" s="22"/>
      <c r="I6" s="21"/>
      <c r="J6" s="21"/>
      <c r="K6" s="21"/>
      <c r="L6" s="23"/>
      <c r="M6" s="23"/>
      <c r="N6" s="105"/>
      <c r="O6" s="116"/>
      <c r="P6" s="116"/>
      <c r="Q6" s="116"/>
      <c r="R6" s="23"/>
      <c r="S6" s="85"/>
      <c r="T6" s="83"/>
      <c r="U6" s="24"/>
      <c r="V6" s="24"/>
      <c r="W6" s="23"/>
      <c r="X6" s="25"/>
      <c r="Y6" s="11"/>
      <c r="AA6" s="9"/>
    </row>
    <row r="7" spans="1:29" x14ac:dyDescent="0.25">
      <c r="A7" s="26" t="s">
        <v>26</v>
      </c>
      <c r="B7" s="27" t="s">
        <v>27</v>
      </c>
      <c r="C7" s="27"/>
      <c r="D7" s="27" t="s">
        <v>28</v>
      </c>
      <c r="E7" s="27" t="s">
        <v>29</v>
      </c>
      <c r="F7" s="28">
        <v>1</v>
      </c>
      <c r="G7" s="28">
        <v>1</v>
      </c>
      <c r="H7" s="28">
        <f t="shared" ref="H7:H83" si="0">G7*F7</f>
        <v>1</v>
      </c>
      <c r="I7" s="29" t="s">
        <v>30</v>
      </c>
      <c r="J7" s="30">
        <v>26.249999999999996</v>
      </c>
      <c r="K7" s="30">
        <v>138.66</v>
      </c>
      <c r="L7" s="31" t="s">
        <v>30</v>
      </c>
      <c r="M7" s="30">
        <f>J7*F7</f>
        <v>26.249999999999996</v>
      </c>
      <c r="N7" s="50">
        <v>0</v>
      </c>
      <c r="O7" s="117">
        <v>0.76500000000000001</v>
      </c>
      <c r="P7" s="117"/>
      <c r="Q7" s="117">
        <f>M7-O7-P7</f>
        <v>25.484999999999996</v>
      </c>
      <c r="R7" s="30">
        <f>M7/(1+N7%)</f>
        <v>26.249999999999996</v>
      </c>
      <c r="S7" s="83">
        <v>26.77</v>
      </c>
      <c r="T7" s="83">
        <v>29.5</v>
      </c>
      <c r="U7" s="83">
        <v>30.88</v>
      </c>
      <c r="V7" s="32"/>
      <c r="W7" s="33">
        <v>60</v>
      </c>
      <c r="X7" s="30"/>
      <c r="Y7" s="34">
        <f t="shared" ref="Y7:Y71" si="1">(X7*R7)/100000</f>
        <v>0</v>
      </c>
      <c r="AA7" s="9"/>
      <c r="AB7" s="35">
        <v>30049093</v>
      </c>
      <c r="AC7" s="35">
        <v>5</v>
      </c>
    </row>
    <row r="8" spans="1:29" x14ac:dyDescent="0.25">
      <c r="A8" s="26" t="s">
        <v>26</v>
      </c>
      <c r="B8" s="27" t="s">
        <v>31</v>
      </c>
      <c r="C8" s="27"/>
      <c r="D8" s="27" t="s">
        <v>32</v>
      </c>
      <c r="E8" s="27" t="s">
        <v>33</v>
      </c>
      <c r="F8" s="28">
        <v>1</v>
      </c>
      <c r="G8" s="28">
        <v>1</v>
      </c>
      <c r="H8" s="28">
        <f>G8*F8</f>
        <v>1</v>
      </c>
      <c r="I8" s="29" t="s">
        <v>30</v>
      </c>
      <c r="J8" s="30">
        <v>29.5</v>
      </c>
      <c r="K8" s="30">
        <v>163.83000000000001</v>
      </c>
      <c r="L8" s="31" t="s">
        <v>30</v>
      </c>
      <c r="M8" s="30">
        <f t="shared" ref="M8:M72" si="2">J8*F8</f>
        <v>29.5</v>
      </c>
      <c r="N8" s="50">
        <v>0</v>
      </c>
      <c r="O8" s="117"/>
      <c r="P8" s="117"/>
      <c r="Q8" s="117">
        <f t="shared" ref="Q8:Q71" si="3">M8-O8-P8</f>
        <v>29.5</v>
      </c>
      <c r="R8" s="30">
        <f>M8/(1+N8%)</f>
        <v>29.5</v>
      </c>
      <c r="S8" s="83">
        <v>30.98</v>
      </c>
      <c r="T8" s="83">
        <v>34</v>
      </c>
      <c r="U8" s="83">
        <v>35.6</v>
      </c>
      <c r="V8" s="32"/>
      <c r="W8" s="33">
        <v>60</v>
      </c>
      <c r="X8" s="30"/>
      <c r="Y8" s="34">
        <f t="shared" si="1"/>
        <v>0</v>
      </c>
      <c r="AA8" s="9"/>
      <c r="AB8" s="35">
        <v>30049093</v>
      </c>
      <c r="AC8" s="35">
        <v>5</v>
      </c>
    </row>
    <row r="9" spans="1:29" x14ac:dyDescent="0.25">
      <c r="A9" s="26" t="s">
        <v>26</v>
      </c>
      <c r="B9" s="27" t="s">
        <v>34</v>
      </c>
      <c r="C9" s="27"/>
      <c r="D9" s="27" t="s">
        <v>35</v>
      </c>
      <c r="E9" s="27" t="s">
        <v>36</v>
      </c>
      <c r="F9" s="28">
        <v>1</v>
      </c>
      <c r="G9" s="28">
        <v>1</v>
      </c>
      <c r="H9" s="28">
        <f>G9*F9</f>
        <v>1</v>
      </c>
      <c r="I9" s="29" t="s">
        <v>37</v>
      </c>
      <c r="J9" s="36">
        <v>7.15</v>
      </c>
      <c r="K9" s="36">
        <v>19.214130916000002</v>
      </c>
      <c r="L9" s="31" t="s">
        <v>37</v>
      </c>
      <c r="M9" s="30">
        <f t="shared" si="2"/>
        <v>7.15</v>
      </c>
      <c r="N9" s="50">
        <v>0</v>
      </c>
      <c r="O9" s="117"/>
      <c r="P9" s="117"/>
      <c r="Q9" s="117">
        <f t="shared" si="3"/>
        <v>7.15</v>
      </c>
      <c r="R9" s="30">
        <f>M9/(1+N9%)</f>
        <v>7.15</v>
      </c>
      <c r="S9" s="83"/>
      <c r="T9" s="83"/>
      <c r="U9" s="83"/>
      <c r="V9" s="32" t="s">
        <v>64</v>
      </c>
      <c r="W9" s="33">
        <v>360</v>
      </c>
      <c r="X9" s="30"/>
      <c r="Y9" s="34">
        <f t="shared" si="1"/>
        <v>0</v>
      </c>
      <c r="AA9" s="9"/>
      <c r="AB9" s="35">
        <v>30049015</v>
      </c>
      <c r="AC9" s="35">
        <v>5</v>
      </c>
    </row>
    <row r="10" spans="1:29" x14ac:dyDescent="0.25">
      <c r="A10" s="26" t="s">
        <v>26</v>
      </c>
      <c r="B10" s="27" t="s">
        <v>38</v>
      </c>
      <c r="C10" s="27"/>
      <c r="D10" s="27" t="s">
        <v>39</v>
      </c>
      <c r="E10" s="27" t="s">
        <v>40</v>
      </c>
      <c r="F10" s="28">
        <v>100</v>
      </c>
      <c r="G10" s="28">
        <v>1</v>
      </c>
      <c r="H10" s="28">
        <f t="shared" si="0"/>
        <v>100</v>
      </c>
      <c r="I10" s="29" t="s">
        <v>41</v>
      </c>
      <c r="J10" s="36">
        <v>2.75</v>
      </c>
      <c r="K10" s="36">
        <v>7.5688469119999997</v>
      </c>
      <c r="L10" s="31" t="s">
        <v>42</v>
      </c>
      <c r="M10" s="30">
        <f t="shared" si="2"/>
        <v>275</v>
      </c>
      <c r="N10" s="50">
        <v>0</v>
      </c>
      <c r="O10" s="117"/>
      <c r="P10" s="117"/>
      <c r="Q10" s="117">
        <f t="shared" si="3"/>
        <v>275</v>
      </c>
      <c r="R10" s="30">
        <f>M10/(1+N10%)</f>
        <v>275</v>
      </c>
      <c r="S10" s="83"/>
      <c r="T10" s="83"/>
      <c r="U10" s="83"/>
      <c r="V10" s="32" t="s">
        <v>64</v>
      </c>
      <c r="W10" s="33">
        <v>60</v>
      </c>
      <c r="X10" s="30"/>
      <c r="Y10" s="34">
        <f t="shared" si="1"/>
        <v>0</v>
      </c>
      <c r="AA10" s="9"/>
      <c r="AB10" s="35">
        <v>30049021</v>
      </c>
      <c r="AC10" s="35">
        <v>5</v>
      </c>
    </row>
    <row r="11" spans="1:29" x14ac:dyDescent="0.25">
      <c r="A11" s="37" t="s">
        <v>26</v>
      </c>
      <c r="B11" s="38" t="s">
        <v>43</v>
      </c>
      <c r="C11" s="38"/>
      <c r="D11" s="38" t="s">
        <v>44</v>
      </c>
      <c r="E11" s="38" t="s">
        <v>45</v>
      </c>
      <c r="F11" s="33">
        <v>30</v>
      </c>
      <c r="G11" s="33">
        <v>10</v>
      </c>
      <c r="H11" s="33">
        <f t="shared" si="0"/>
        <v>300</v>
      </c>
      <c r="I11" s="31" t="s">
        <v>46</v>
      </c>
      <c r="J11" s="30">
        <v>4.1399999999999988</v>
      </c>
      <c r="K11" s="30">
        <v>52.73</v>
      </c>
      <c r="L11" s="31" t="s">
        <v>47</v>
      </c>
      <c r="M11" s="30">
        <f t="shared" si="2"/>
        <v>124.19999999999996</v>
      </c>
      <c r="N11" s="36">
        <v>18</v>
      </c>
      <c r="O11" s="99"/>
      <c r="P11" s="99"/>
      <c r="Q11" s="117">
        <f t="shared" si="3"/>
        <v>124.19999999999996</v>
      </c>
      <c r="R11" s="30">
        <f>M11/(1+N11%)</f>
        <v>105.25423728813557</v>
      </c>
      <c r="S11" s="83">
        <v>93</v>
      </c>
      <c r="T11" s="83">
        <v>102.3</v>
      </c>
      <c r="U11" s="83">
        <v>106.95</v>
      </c>
      <c r="V11" s="32"/>
      <c r="W11" s="33">
        <v>66</v>
      </c>
      <c r="X11" s="30"/>
      <c r="Y11" s="34">
        <f t="shared" si="1"/>
        <v>0</v>
      </c>
      <c r="AA11" s="9" t="s">
        <v>48</v>
      </c>
      <c r="AB11" s="35">
        <v>30049039</v>
      </c>
      <c r="AC11" s="35">
        <v>5</v>
      </c>
    </row>
    <row r="12" spans="1:29" x14ac:dyDescent="0.25">
      <c r="A12" s="26" t="s">
        <v>26</v>
      </c>
      <c r="B12" s="27" t="s">
        <v>49</v>
      </c>
      <c r="C12" s="27"/>
      <c r="D12" s="27" t="s">
        <v>50</v>
      </c>
      <c r="E12" s="27" t="s">
        <v>51</v>
      </c>
      <c r="F12" s="28">
        <v>1</v>
      </c>
      <c r="G12" s="28">
        <v>1</v>
      </c>
      <c r="H12" s="28">
        <f>G12*F12</f>
        <v>1</v>
      </c>
      <c r="I12" s="29">
        <v>1</v>
      </c>
      <c r="J12" s="30">
        <v>35.28</v>
      </c>
      <c r="K12" s="30">
        <v>191.63</v>
      </c>
      <c r="L12" s="31" t="s">
        <v>52</v>
      </c>
      <c r="M12" s="30">
        <f t="shared" si="2"/>
        <v>35.28</v>
      </c>
      <c r="N12" s="50">
        <v>10</v>
      </c>
      <c r="O12" s="117"/>
      <c r="P12" s="117"/>
      <c r="Q12" s="117">
        <f t="shared" si="3"/>
        <v>35.28</v>
      </c>
      <c r="R12" s="30">
        <f>M12/(1+N12%)</f>
        <v>32.072727272727271</v>
      </c>
      <c r="S12" s="83"/>
      <c r="T12" s="83"/>
      <c r="U12" s="83"/>
      <c r="V12" s="32" t="s">
        <v>64</v>
      </c>
      <c r="W12" s="33">
        <v>240</v>
      </c>
      <c r="X12" s="30"/>
      <c r="Y12" s="34">
        <f t="shared" si="1"/>
        <v>0</v>
      </c>
      <c r="AA12" s="9"/>
      <c r="AB12" s="35">
        <v>30049039</v>
      </c>
      <c r="AC12" s="35">
        <v>5</v>
      </c>
    </row>
    <row r="13" spans="1:29" x14ac:dyDescent="0.25">
      <c r="A13" s="26" t="s">
        <v>26</v>
      </c>
      <c r="B13" s="27" t="s">
        <v>53</v>
      </c>
      <c r="C13" s="27"/>
      <c r="D13" s="27" t="s">
        <v>54</v>
      </c>
      <c r="E13" s="27" t="s">
        <v>51</v>
      </c>
      <c r="F13" s="28">
        <v>1</v>
      </c>
      <c r="G13" s="28">
        <v>1</v>
      </c>
      <c r="H13" s="28">
        <f>G13*F13</f>
        <v>1</v>
      </c>
      <c r="I13" s="29">
        <v>1</v>
      </c>
      <c r="J13" s="30">
        <v>86.000000000000014</v>
      </c>
      <c r="K13" s="30">
        <v>403.69</v>
      </c>
      <c r="L13" s="31" t="s">
        <v>55</v>
      </c>
      <c r="M13" s="30">
        <f t="shared" si="2"/>
        <v>86.000000000000014</v>
      </c>
      <c r="N13" s="50">
        <v>10</v>
      </c>
      <c r="O13" s="117"/>
      <c r="P13" s="117"/>
      <c r="Q13" s="117">
        <f t="shared" si="3"/>
        <v>86.000000000000014</v>
      </c>
      <c r="R13" s="30">
        <f>M13/(1+N13%)</f>
        <v>78.181818181818187</v>
      </c>
      <c r="S13" s="83"/>
      <c r="T13" s="83"/>
      <c r="U13" s="83"/>
      <c r="V13" s="32" t="s">
        <v>64</v>
      </c>
      <c r="W13" s="33">
        <v>120</v>
      </c>
      <c r="X13" s="30"/>
      <c r="Y13" s="34">
        <f t="shared" si="1"/>
        <v>0</v>
      </c>
      <c r="AA13" s="9"/>
      <c r="AB13" s="35">
        <v>30049039</v>
      </c>
      <c r="AC13" s="35">
        <v>5</v>
      </c>
    </row>
    <row r="14" spans="1:29" x14ac:dyDescent="0.25">
      <c r="A14" s="26" t="s">
        <v>26</v>
      </c>
      <c r="B14" s="27" t="s">
        <v>56</v>
      </c>
      <c r="C14" s="27"/>
      <c r="D14" s="27" t="s">
        <v>57</v>
      </c>
      <c r="E14" s="27" t="s">
        <v>58</v>
      </c>
      <c r="F14" s="28">
        <v>20</v>
      </c>
      <c r="G14" s="28">
        <v>10</v>
      </c>
      <c r="H14" s="28">
        <f t="shared" si="0"/>
        <v>200</v>
      </c>
      <c r="I14" s="29" t="s">
        <v>46</v>
      </c>
      <c r="J14" s="30">
        <v>9.64</v>
      </c>
      <c r="K14" s="36">
        <v>16.95</v>
      </c>
      <c r="L14" s="31" t="s">
        <v>59</v>
      </c>
      <c r="M14" s="30">
        <f t="shared" si="2"/>
        <v>192.8</v>
      </c>
      <c r="N14" s="36">
        <v>15</v>
      </c>
      <c r="O14" s="99"/>
      <c r="P14" s="99"/>
      <c r="Q14" s="117">
        <f t="shared" si="3"/>
        <v>192.8</v>
      </c>
      <c r="R14" s="30">
        <f>M14/(1+N14%)</f>
        <v>167.6521739130435</v>
      </c>
      <c r="S14" s="83">
        <v>168.6</v>
      </c>
      <c r="T14" s="83">
        <v>185.46</v>
      </c>
      <c r="U14" s="83">
        <v>193.89</v>
      </c>
      <c r="V14" s="32"/>
      <c r="W14" s="33">
        <v>60</v>
      </c>
      <c r="X14" s="30"/>
      <c r="Y14" s="34">
        <f t="shared" si="1"/>
        <v>0</v>
      </c>
      <c r="AA14" s="9"/>
      <c r="AB14" s="35">
        <v>30049063</v>
      </c>
      <c r="AC14" s="35">
        <v>5</v>
      </c>
    </row>
    <row r="15" spans="1:29" ht="23.25" x14ac:dyDescent="0.25">
      <c r="A15" s="26" t="s">
        <v>26</v>
      </c>
      <c r="B15" s="27" t="s">
        <v>60</v>
      </c>
      <c r="C15" s="27"/>
      <c r="D15" s="27" t="s">
        <v>61</v>
      </c>
      <c r="E15" s="39" t="s">
        <v>62</v>
      </c>
      <c r="F15" s="28">
        <v>1</v>
      </c>
      <c r="G15" s="28">
        <v>1</v>
      </c>
      <c r="H15" s="28">
        <f t="shared" si="0"/>
        <v>1</v>
      </c>
      <c r="I15" s="29" t="s">
        <v>63</v>
      </c>
      <c r="J15" s="30">
        <v>12.5</v>
      </c>
      <c r="K15" s="30">
        <v>65.63</v>
      </c>
      <c r="L15" s="31" t="s">
        <v>63</v>
      </c>
      <c r="M15" s="30">
        <f t="shared" si="2"/>
        <v>12.5</v>
      </c>
      <c r="N15" s="50">
        <v>10</v>
      </c>
      <c r="O15" s="117"/>
      <c r="P15" s="117"/>
      <c r="Q15" s="117">
        <f t="shared" si="3"/>
        <v>12.5</v>
      </c>
      <c r="R15" s="30">
        <f>M15/(1+N15%)</f>
        <v>11.363636363636363</v>
      </c>
      <c r="S15" s="83"/>
      <c r="T15" s="83"/>
      <c r="U15" s="83"/>
      <c r="V15" s="32" t="s">
        <v>64</v>
      </c>
      <c r="W15" s="33">
        <v>1500</v>
      </c>
      <c r="X15" s="30"/>
      <c r="Y15" s="34">
        <f t="shared" si="1"/>
        <v>0</v>
      </c>
      <c r="AA15" s="9"/>
      <c r="AB15" s="35">
        <v>30049099</v>
      </c>
      <c r="AC15" s="35">
        <v>5</v>
      </c>
    </row>
    <row r="16" spans="1:29" x14ac:dyDescent="0.25">
      <c r="A16" s="26" t="s">
        <v>26</v>
      </c>
      <c r="B16" s="27" t="s">
        <v>65</v>
      </c>
      <c r="C16" s="27"/>
      <c r="D16" s="27" t="s">
        <v>66</v>
      </c>
      <c r="E16" s="27" t="s">
        <v>67</v>
      </c>
      <c r="F16" s="28">
        <v>10</v>
      </c>
      <c r="G16" s="28">
        <v>10</v>
      </c>
      <c r="H16" s="28">
        <f t="shared" si="0"/>
        <v>100</v>
      </c>
      <c r="I16" s="29" t="s">
        <v>46</v>
      </c>
      <c r="J16" s="30">
        <v>18.899999999999995</v>
      </c>
      <c r="K16" s="30">
        <v>123.74</v>
      </c>
      <c r="L16" s="31" t="s">
        <v>68</v>
      </c>
      <c r="M16" s="30">
        <f t="shared" si="2"/>
        <v>188.99999999999994</v>
      </c>
      <c r="N16" s="50">
        <v>30</v>
      </c>
      <c r="O16" s="117"/>
      <c r="P16" s="117"/>
      <c r="Q16" s="117">
        <f t="shared" si="3"/>
        <v>188.99999999999994</v>
      </c>
      <c r="R16" s="30">
        <f>M16/(1+N16%)</f>
        <v>145.38461538461533</v>
      </c>
      <c r="S16" s="83"/>
      <c r="T16" s="83"/>
      <c r="U16" s="83"/>
      <c r="V16" s="32" t="s">
        <v>64</v>
      </c>
      <c r="W16" s="33">
        <v>144</v>
      </c>
      <c r="X16" s="30"/>
      <c r="Y16" s="34">
        <f t="shared" si="1"/>
        <v>0</v>
      </c>
      <c r="AA16" s="9"/>
      <c r="AB16" s="35">
        <v>30049039</v>
      </c>
      <c r="AC16" s="35">
        <v>5</v>
      </c>
    </row>
    <row r="17" spans="1:29" x14ac:dyDescent="0.25">
      <c r="A17" s="26" t="s">
        <v>26</v>
      </c>
      <c r="B17" s="27" t="s">
        <v>69</v>
      </c>
      <c r="C17" s="27"/>
      <c r="D17" s="27" t="s">
        <v>70</v>
      </c>
      <c r="E17" s="27" t="s">
        <v>71</v>
      </c>
      <c r="F17" s="28">
        <v>10</v>
      </c>
      <c r="G17" s="28">
        <v>10</v>
      </c>
      <c r="H17" s="28">
        <f t="shared" si="0"/>
        <v>100</v>
      </c>
      <c r="I17" s="29" t="s">
        <v>46</v>
      </c>
      <c r="J17" s="30">
        <v>26.249999999999996</v>
      </c>
      <c r="K17" s="30">
        <v>150.38</v>
      </c>
      <c r="L17" s="31" t="s">
        <v>68</v>
      </c>
      <c r="M17" s="30">
        <f t="shared" si="2"/>
        <v>262.49999999999994</v>
      </c>
      <c r="N17" s="36">
        <v>20</v>
      </c>
      <c r="O17" s="99"/>
      <c r="P17" s="99"/>
      <c r="Q17" s="117">
        <f t="shared" si="3"/>
        <v>262.49999999999994</v>
      </c>
      <c r="R17" s="30">
        <f>M17/(1+N17%)</f>
        <v>218.74999999999997</v>
      </c>
      <c r="S17" s="83"/>
      <c r="T17" s="83"/>
      <c r="U17" s="83"/>
      <c r="V17" s="32" t="s">
        <v>64</v>
      </c>
      <c r="W17" s="33">
        <v>36</v>
      </c>
      <c r="X17" s="30"/>
      <c r="Y17" s="34">
        <f t="shared" si="1"/>
        <v>0</v>
      </c>
      <c r="AA17" s="9" t="s">
        <v>48</v>
      </c>
      <c r="AB17" s="35">
        <v>30049039</v>
      </c>
      <c r="AC17" s="35">
        <v>5</v>
      </c>
    </row>
    <row r="18" spans="1:29" x14ac:dyDescent="0.25">
      <c r="A18" s="26" t="s">
        <v>26</v>
      </c>
      <c r="B18" s="27" t="s">
        <v>72</v>
      </c>
      <c r="C18" s="27"/>
      <c r="D18" s="27" t="s">
        <v>73</v>
      </c>
      <c r="E18" s="27" t="s">
        <v>74</v>
      </c>
      <c r="F18" s="28">
        <v>10</v>
      </c>
      <c r="G18" s="28">
        <v>10</v>
      </c>
      <c r="H18" s="28">
        <f>G18*F18</f>
        <v>100</v>
      </c>
      <c r="I18" s="29" t="s">
        <v>46</v>
      </c>
      <c r="J18" s="30">
        <v>82</v>
      </c>
      <c r="K18" s="36">
        <v>383.434563776</v>
      </c>
      <c r="L18" s="31" t="s">
        <v>68</v>
      </c>
      <c r="M18" s="30">
        <f t="shared" si="2"/>
        <v>820</v>
      </c>
      <c r="N18" s="50">
        <v>15</v>
      </c>
      <c r="O18" s="117"/>
      <c r="P18" s="117"/>
      <c r="Q18" s="117">
        <f t="shared" si="3"/>
        <v>820</v>
      </c>
      <c r="R18" s="30">
        <f>M18/(1+N18%)</f>
        <v>713.04347826086962</v>
      </c>
      <c r="S18" s="83">
        <v>705.7</v>
      </c>
      <c r="T18" s="83">
        <v>776.27</v>
      </c>
      <c r="U18" s="83">
        <v>811.55499999999995</v>
      </c>
      <c r="V18" s="32"/>
      <c r="W18" s="33">
        <v>40</v>
      </c>
      <c r="X18" s="30"/>
      <c r="Y18" s="34">
        <f t="shared" si="1"/>
        <v>0</v>
      </c>
      <c r="AA18" s="9" t="s">
        <v>75</v>
      </c>
      <c r="AB18" s="35">
        <v>30049087</v>
      </c>
      <c r="AC18" s="35">
        <v>5</v>
      </c>
    </row>
    <row r="19" spans="1:29" x14ac:dyDescent="0.25">
      <c r="A19" s="26" t="s">
        <v>26</v>
      </c>
      <c r="B19" s="27" t="s">
        <v>76</v>
      </c>
      <c r="C19" s="27"/>
      <c r="D19" s="27" t="s">
        <v>77</v>
      </c>
      <c r="E19" s="27" t="s">
        <v>78</v>
      </c>
      <c r="F19" s="28">
        <v>30</v>
      </c>
      <c r="G19" s="28">
        <v>10</v>
      </c>
      <c r="H19" s="28">
        <f>G19*F19</f>
        <v>300</v>
      </c>
      <c r="I19" s="29" t="s">
        <v>46</v>
      </c>
      <c r="J19" s="36">
        <v>5.09</v>
      </c>
      <c r="K19" s="36">
        <v>23.9</v>
      </c>
      <c r="L19" s="31" t="s">
        <v>79</v>
      </c>
      <c r="M19" s="30">
        <f t="shared" si="2"/>
        <v>152.69999999999999</v>
      </c>
      <c r="N19" s="50">
        <v>20</v>
      </c>
      <c r="O19" s="117"/>
      <c r="P19" s="117"/>
      <c r="Q19" s="117">
        <f t="shared" si="3"/>
        <v>152.69999999999999</v>
      </c>
      <c r="R19" s="30">
        <f>M19/(1+N19%)</f>
        <v>127.25</v>
      </c>
      <c r="S19" s="83"/>
      <c r="T19" s="83"/>
      <c r="U19" s="83"/>
      <c r="V19" s="32" t="s">
        <v>64</v>
      </c>
      <c r="W19" s="33">
        <v>96</v>
      </c>
      <c r="X19" s="30"/>
      <c r="Y19" s="34">
        <f t="shared" si="1"/>
        <v>0</v>
      </c>
      <c r="AA19" s="9"/>
      <c r="AB19" s="35">
        <v>30042033</v>
      </c>
      <c r="AC19" s="35">
        <v>5</v>
      </c>
    </row>
    <row r="20" spans="1:29" x14ac:dyDescent="0.25">
      <c r="A20" s="26" t="s">
        <v>26</v>
      </c>
      <c r="B20" s="27" t="s">
        <v>80</v>
      </c>
      <c r="C20" s="27"/>
      <c r="D20" s="27" t="s">
        <v>81</v>
      </c>
      <c r="E20" s="27" t="s">
        <v>82</v>
      </c>
      <c r="F20" s="28">
        <v>1</v>
      </c>
      <c r="G20" s="28">
        <v>1</v>
      </c>
      <c r="H20" s="28">
        <f t="shared" si="0"/>
        <v>1</v>
      </c>
      <c r="I20" s="29" t="s">
        <v>83</v>
      </c>
      <c r="J20" s="36">
        <v>10</v>
      </c>
      <c r="K20" s="30">
        <v>15.23</v>
      </c>
      <c r="L20" s="31" t="s">
        <v>84</v>
      </c>
      <c r="M20" s="30">
        <f t="shared" si="2"/>
        <v>10</v>
      </c>
      <c r="N20" s="50">
        <v>0</v>
      </c>
      <c r="O20" s="117"/>
      <c r="P20" s="117"/>
      <c r="Q20" s="117">
        <f t="shared" si="3"/>
        <v>10</v>
      </c>
      <c r="R20" s="30">
        <f>M20/(1+N20%)</f>
        <v>10</v>
      </c>
      <c r="S20" s="83"/>
      <c r="T20" s="83"/>
      <c r="U20" s="83"/>
      <c r="V20" s="32" t="s">
        <v>64</v>
      </c>
      <c r="W20" s="33">
        <v>600</v>
      </c>
      <c r="X20" s="30"/>
      <c r="Y20" s="34">
        <f t="shared" si="1"/>
        <v>0</v>
      </c>
      <c r="AA20" s="9"/>
      <c r="AB20" s="35">
        <v>30041020</v>
      </c>
      <c r="AC20" s="35">
        <v>5</v>
      </c>
    </row>
    <row r="21" spans="1:29" x14ac:dyDescent="0.25">
      <c r="A21" s="26" t="s">
        <v>26</v>
      </c>
      <c r="B21" s="27" t="s">
        <v>85</v>
      </c>
      <c r="C21" s="27"/>
      <c r="D21" s="27" t="s">
        <v>86</v>
      </c>
      <c r="E21" s="27" t="s">
        <v>87</v>
      </c>
      <c r="F21" s="28">
        <v>10</v>
      </c>
      <c r="G21" s="28">
        <v>10</v>
      </c>
      <c r="H21" s="28">
        <f t="shared" si="0"/>
        <v>100</v>
      </c>
      <c r="I21" s="29" t="s">
        <v>88</v>
      </c>
      <c r="J21" s="30">
        <v>33.57</v>
      </c>
      <c r="K21" s="30">
        <v>117.75</v>
      </c>
      <c r="L21" s="31" t="s">
        <v>89</v>
      </c>
      <c r="M21" s="30">
        <f t="shared" si="2"/>
        <v>335.7</v>
      </c>
      <c r="N21" s="50">
        <v>0</v>
      </c>
      <c r="O21" s="117"/>
      <c r="P21" s="117"/>
      <c r="Q21" s="117">
        <f t="shared" si="3"/>
        <v>335.7</v>
      </c>
      <c r="R21" s="30">
        <f>M21/(1+N21%)</f>
        <v>335.7</v>
      </c>
      <c r="S21" s="83"/>
      <c r="T21" s="83"/>
      <c r="U21" s="83"/>
      <c r="V21" s="32" t="s">
        <v>64</v>
      </c>
      <c r="W21" s="33">
        <v>60</v>
      </c>
      <c r="X21" s="30"/>
      <c r="Y21" s="34">
        <f t="shared" si="1"/>
        <v>0</v>
      </c>
      <c r="AA21" s="9"/>
      <c r="AB21" s="35" t="s">
        <v>90</v>
      </c>
      <c r="AC21" s="35">
        <v>5</v>
      </c>
    </row>
    <row r="22" spans="1:29" x14ac:dyDescent="0.25">
      <c r="A22" s="26" t="s">
        <v>26</v>
      </c>
      <c r="B22" s="40" t="s">
        <v>91</v>
      </c>
      <c r="C22" s="40"/>
      <c r="D22" s="27" t="s">
        <v>92</v>
      </c>
      <c r="E22" s="27" t="s">
        <v>93</v>
      </c>
      <c r="F22" s="28">
        <v>10</v>
      </c>
      <c r="G22" s="28">
        <v>10</v>
      </c>
      <c r="H22" s="28">
        <f>G22*F22</f>
        <v>100</v>
      </c>
      <c r="I22" s="29" t="s">
        <v>88</v>
      </c>
      <c r="J22" s="30">
        <v>45</v>
      </c>
      <c r="K22" s="30">
        <v>160.43</v>
      </c>
      <c r="L22" s="31" t="s">
        <v>89</v>
      </c>
      <c r="M22" s="30">
        <f t="shared" si="2"/>
        <v>450</v>
      </c>
      <c r="N22" s="50">
        <v>50</v>
      </c>
      <c r="O22" s="117"/>
      <c r="P22" s="117"/>
      <c r="Q22" s="117">
        <f t="shared" si="3"/>
        <v>450</v>
      </c>
      <c r="R22" s="30">
        <f>M22/(1+N22%)</f>
        <v>300</v>
      </c>
      <c r="S22" s="83"/>
      <c r="T22" s="83"/>
      <c r="U22" s="83"/>
      <c r="V22" s="32" t="s">
        <v>64</v>
      </c>
      <c r="W22" s="33">
        <v>30</v>
      </c>
      <c r="X22" s="30"/>
      <c r="Y22" s="34">
        <f t="shared" si="1"/>
        <v>0</v>
      </c>
      <c r="AA22" s="9" t="s">
        <v>94</v>
      </c>
      <c r="AB22" s="35">
        <v>30049029</v>
      </c>
      <c r="AC22" s="35">
        <v>5</v>
      </c>
    </row>
    <row r="23" spans="1:29" x14ac:dyDescent="0.25">
      <c r="A23" s="26" t="s">
        <v>26</v>
      </c>
      <c r="B23" s="40" t="s">
        <v>95</v>
      </c>
      <c r="C23" s="40"/>
      <c r="D23" s="27" t="s">
        <v>96</v>
      </c>
      <c r="E23" s="27" t="s">
        <v>97</v>
      </c>
      <c r="F23" s="28">
        <v>10</v>
      </c>
      <c r="G23" s="28">
        <v>10</v>
      </c>
      <c r="H23" s="28">
        <f>G23*F23</f>
        <v>100</v>
      </c>
      <c r="I23" s="29" t="s">
        <v>88</v>
      </c>
      <c r="J23" s="30">
        <v>75</v>
      </c>
      <c r="K23" s="30">
        <v>236.25</v>
      </c>
      <c r="L23" s="31" t="s">
        <v>89</v>
      </c>
      <c r="M23" s="30">
        <f t="shared" si="2"/>
        <v>750</v>
      </c>
      <c r="N23" s="50">
        <v>50</v>
      </c>
      <c r="O23" s="117"/>
      <c r="P23" s="117"/>
      <c r="Q23" s="117">
        <f t="shared" si="3"/>
        <v>750</v>
      </c>
      <c r="R23" s="30">
        <f>M23/(1+N23%)</f>
        <v>500</v>
      </c>
      <c r="S23" s="83"/>
      <c r="T23" s="83"/>
      <c r="U23" s="83"/>
      <c r="V23" s="32" t="s">
        <v>64</v>
      </c>
      <c r="W23" s="33">
        <v>30</v>
      </c>
      <c r="X23" s="30"/>
      <c r="Y23" s="34">
        <f t="shared" si="1"/>
        <v>0</v>
      </c>
      <c r="AA23" s="9" t="s">
        <v>94</v>
      </c>
      <c r="AB23" s="35">
        <v>30049029</v>
      </c>
      <c r="AC23" s="35">
        <v>5</v>
      </c>
    </row>
    <row r="24" spans="1:29" x14ac:dyDescent="0.25">
      <c r="A24" s="26" t="s">
        <v>26</v>
      </c>
      <c r="B24" s="27" t="s">
        <v>98</v>
      </c>
      <c r="C24" s="27"/>
      <c r="D24" s="27" t="s">
        <v>99</v>
      </c>
      <c r="E24" s="27" t="s">
        <v>100</v>
      </c>
      <c r="F24" s="28">
        <v>5</v>
      </c>
      <c r="G24" s="28">
        <v>10</v>
      </c>
      <c r="H24" s="28">
        <f>G24*F24</f>
        <v>50</v>
      </c>
      <c r="I24" s="29" t="s">
        <v>46</v>
      </c>
      <c r="J24" s="30">
        <v>77.700000000000017</v>
      </c>
      <c r="K24" s="30">
        <v>453.28</v>
      </c>
      <c r="L24" s="31" t="s">
        <v>101</v>
      </c>
      <c r="M24" s="30">
        <f t="shared" si="2"/>
        <v>388.50000000000011</v>
      </c>
      <c r="N24" s="50">
        <v>30</v>
      </c>
      <c r="O24" s="117"/>
      <c r="P24" s="117"/>
      <c r="Q24" s="117">
        <f t="shared" si="3"/>
        <v>388.50000000000011</v>
      </c>
      <c r="R24" s="30">
        <f>M24/(1+N24%)</f>
        <v>298.84615384615392</v>
      </c>
      <c r="S24" s="83"/>
      <c r="T24" s="83"/>
      <c r="U24" s="83"/>
      <c r="V24" s="32" t="s">
        <v>64</v>
      </c>
      <c r="W24" s="33">
        <v>36</v>
      </c>
      <c r="X24" s="30"/>
      <c r="Y24" s="34">
        <f t="shared" si="1"/>
        <v>0</v>
      </c>
      <c r="AA24" s="9"/>
      <c r="AB24" s="35">
        <v>30042019</v>
      </c>
      <c r="AC24" s="35">
        <v>5</v>
      </c>
    </row>
    <row r="25" spans="1:29" x14ac:dyDescent="0.25">
      <c r="A25" s="26" t="s">
        <v>26</v>
      </c>
      <c r="B25" s="27" t="s">
        <v>102</v>
      </c>
      <c r="C25" s="27"/>
      <c r="D25" s="27" t="s">
        <v>103</v>
      </c>
      <c r="E25" s="27" t="s">
        <v>104</v>
      </c>
      <c r="F25" s="28">
        <v>10</v>
      </c>
      <c r="G25" s="28">
        <v>10</v>
      </c>
      <c r="H25" s="28">
        <f>G25*F25</f>
        <v>100</v>
      </c>
      <c r="I25" s="29" t="s">
        <v>46</v>
      </c>
      <c r="J25" s="30">
        <v>139.33000000000001</v>
      </c>
      <c r="K25" s="30">
        <v>549.41</v>
      </c>
      <c r="L25" s="31" t="s">
        <v>105</v>
      </c>
      <c r="M25" s="30">
        <f t="shared" si="2"/>
        <v>1393.3000000000002</v>
      </c>
      <c r="N25" s="50">
        <v>30</v>
      </c>
      <c r="O25" s="117"/>
      <c r="P25" s="117"/>
      <c r="Q25" s="117">
        <f t="shared" si="3"/>
        <v>1393.3000000000002</v>
      </c>
      <c r="R25" s="30">
        <f>M25/(1+N25%)</f>
        <v>1071.7692307692309</v>
      </c>
      <c r="S25" s="83"/>
      <c r="T25" s="83"/>
      <c r="U25" s="83"/>
      <c r="V25" s="32" t="s">
        <v>64</v>
      </c>
      <c r="W25" s="33">
        <v>54</v>
      </c>
      <c r="X25" s="30"/>
      <c r="Y25" s="34">
        <f t="shared" si="1"/>
        <v>0</v>
      </c>
      <c r="AA25" s="9"/>
      <c r="AB25" s="35">
        <v>30042019</v>
      </c>
      <c r="AC25" s="35">
        <v>5.0000000000000009</v>
      </c>
    </row>
    <row r="26" spans="1:29" x14ac:dyDescent="0.25">
      <c r="A26" s="26" t="s">
        <v>26</v>
      </c>
      <c r="B26" s="27" t="s">
        <v>106</v>
      </c>
      <c r="C26" s="27"/>
      <c r="D26" s="27" t="s">
        <v>107</v>
      </c>
      <c r="E26" s="27" t="s">
        <v>108</v>
      </c>
      <c r="F26" s="28">
        <v>10</v>
      </c>
      <c r="G26" s="28">
        <v>10</v>
      </c>
      <c r="H26" s="28">
        <f>G26*F26</f>
        <v>100</v>
      </c>
      <c r="I26" s="29" t="s">
        <v>46</v>
      </c>
      <c r="J26" s="30">
        <v>168</v>
      </c>
      <c r="K26" s="30">
        <v>613.54999999999995</v>
      </c>
      <c r="L26" s="31" t="s">
        <v>105</v>
      </c>
      <c r="M26" s="30">
        <f t="shared" si="2"/>
        <v>1680</v>
      </c>
      <c r="N26" s="50">
        <v>35</v>
      </c>
      <c r="O26" s="117"/>
      <c r="P26" s="117"/>
      <c r="Q26" s="117">
        <f t="shared" si="3"/>
        <v>1680</v>
      </c>
      <c r="R26" s="30">
        <f>M26/(1+N26%)</f>
        <v>1244.4444444444443</v>
      </c>
      <c r="S26" s="83"/>
      <c r="T26" s="83"/>
      <c r="U26" s="83"/>
      <c r="V26" s="32" t="s">
        <v>64</v>
      </c>
      <c r="W26" s="33">
        <v>45</v>
      </c>
      <c r="X26" s="30"/>
      <c r="Y26" s="34">
        <f t="shared" si="1"/>
        <v>0</v>
      </c>
      <c r="AA26" s="9"/>
      <c r="AB26" s="35">
        <v>30042019</v>
      </c>
      <c r="AC26" s="35">
        <v>5</v>
      </c>
    </row>
    <row r="27" spans="1:29" x14ac:dyDescent="0.25">
      <c r="A27" s="26" t="s">
        <v>26</v>
      </c>
      <c r="B27" s="27" t="s">
        <v>109</v>
      </c>
      <c r="C27" s="27"/>
      <c r="D27" s="27" t="s">
        <v>110</v>
      </c>
      <c r="E27" s="27" t="s">
        <v>111</v>
      </c>
      <c r="F27" s="28">
        <v>40</v>
      </c>
      <c r="G27" s="28">
        <v>15</v>
      </c>
      <c r="H27" s="28">
        <f t="shared" si="0"/>
        <v>600</v>
      </c>
      <c r="I27" s="29" t="s">
        <v>112</v>
      </c>
      <c r="J27" s="30">
        <v>2.78</v>
      </c>
      <c r="K27" s="36">
        <v>30.235387648</v>
      </c>
      <c r="L27" s="31" t="s">
        <v>113</v>
      </c>
      <c r="M27" s="30">
        <f t="shared" si="2"/>
        <v>111.19999999999999</v>
      </c>
      <c r="N27" s="50">
        <v>5</v>
      </c>
      <c r="O27" s="117"/>
      <c r="P27" s="117"/>
      <c r="Q27" s="117">
        <f t="shared" si="3"/>
        <v>111.19999999999999</v>
      </c>
      <c r="R27" s="30">
        <f>M27/(1+N27%)</f>
        <v>105.90476190476188</v>
      </c>
      <c r="S27" s="83"/>
      <c r="T27" s="83"/>
      <c r="U27" s="83"/>
      <c r="V27" s="32" t="s">
        <v>64</v>
      </c>
      <c r="W27" s="33">
        <v>60</v>
      </c>
      <c r="X27" s="30"/>
      <c r="Y27" s="34">
        <f t="shared" si="1"/>
        <v>0</v>
      </c>
      <c r="AA27" s="9"/>
      <c r="AB27" s="35">
        <v>30049039</v>
      </c>
      <c r="AC27" s="35">
        <v>5</v>
      </c>
    </row>
    <row r="28" spans="1:29" x14ac:dyDescent="0.25">
      <c r="A28" s="26" t="s">
        <v>26</v>
      </c>
      <c r="B28" s="27" t="s">
        <v>114</v>
      </c>
      <c r="C28" s="27"/>
      <c r="D28" s="27" t="s">
        <v>115</v>
      </c>
      <c r="E28" s="27" t="s">
        <v>116</v>
      </c>
      <c r="F28" s="28">
        <v>20</v>
      </c>
      <c r="G28" s="28">
        <v>10</v>
      </c>
      <c r="H28" s="28">
        <f t="shared" si="0"/>
        <v>200</v>
      </c>
      <c r="I28" s="29" t="s">
        <v>46</v>
      </c>
      <c r="J28" s="30">
        <v>10.5</v>
      </c>
      <c r="K28" s="36">
        <v>23.55199704</v>
      </c>
      <c r="L28" s="31" t="s">
        <v>59</v>
      </c>
      <c r="M28" s="30">
        <f t="shared" si="2"/>
        <v>210</v>
      </c>
      <c r="N28" s="36"/>
      <c r="O28" s="99"/>
      <c r="P28" s="99"/>
      <c r="Q28" s="117">
        <f t="shared" si="3"/>
        <v>210</v>
      </c>
      <c r="R28" s="30">
        <f>M28/(1+N28%)</f>
        <v>210</v>
      </c>
      <c r="S28" s="83">
        <v>205</v>
      </c>
      <c r="T28" s="83">
        <v>226</v>
      </c>
      <c r="U28" s="83">
        <v>236</v>
      </c>
      <c r="V28" s="32"/>
      <c r="W28" s="33">
        <v>75</v>
      </c>
      <c r="X28" s="30"/>
      <c r="Y28" s="34">
        <f t="shared" si="1"/>
        <v>0</v>
      </c>
      <c r="AA28" s="9"/>
      <c r="AB28" s="35">
        <v>30042033</v>
      </c>
      <c r="AC28" s="35">
        <v>5</v>
      </c>
    </row>
    <row r="29" spans="1:29" x14ac:dyDescent="0.25">
      <c r="A29" s="26" t="s">
        <v>26</v>
      </c>
      <c r="B29" s="27" t="s">
        <v>117</v>
      </c>
      <c r="C29" s="27"/>
      <c r="D29" s="27" t="s">
        <v>935</v>
      </c>
      <c r="E29" s="27" t="s">
        <v>118</v>
      </c>
      <c r="F29" s="28">
        <v>30</v>
      </c>
      <c r="G29" s="28">
        <v>10</v>
      </c>
      <c r="H29" s="28">
        <f t="shared" si="0"/>
        <v>300</v>
      </c>
      <c r="I29" s="29" t="s">
        <v>46</v>
      </c>
      <c r="J29" s="30">
        <v>18.5</v>
      </c>
      <c r="K29" s="36">
        <v>45.594250680000002</v>
      </c>
      <c r="L29" s="31" t="s">
        <v>79</v>
      </c>
      <c r="M29" s="30">
        <f t="shared" si="2"/>
        <v>555</v>
      </c>
      <c r="N29" s="36">
        <v>9</v>
      </c>
      <c r="O29" s="99"/>
      <c r="P29" s="99"/>
      <c r="Q29" s="117">
        <f t="shared" si="3"/>
        <v>555</v>
      </c>
      <c r="R29" s="30">
        <f>M29/(1+N29%)</f>
        <v>509.17431192660547</v>
      </c>
      <c r="S29" s="83">
        <v>488.4</v>
      </c>
      <c r="T29" s="83">
        <v>537.24</v>
      </c>
      <c r="U29" s="83">
        <v>561.66</v>
      </c>
      <c r="V29" s="32"/>
      <c r="W29" s="33">
        <v>60</v>
      </c>
      <c r="X29" s="30"/>
      <c r="Y29" s="34">
        <f t="shared" si="1"/>
        <v>0</v>
      </c>
      <c r="AA29" s="9"/>
      <c r="AB29" s="35">
        <v>30042033</v>
      </c>
      <c r="AC29" s="35">
        <v>5</v>
      </c>
    </row>
    <row r="30" spans="1:29" x14ac:dyDescent="0.25">
      <c r="A30" s="26" t="s">
        <v>26</v>
      </c>
      <c r="B30" s="27" t="s">
        <v>119</v>
      </c>
      <c r="C30" s="27"/>
      <c r="D30" s="27" t="s">
        <v>120</v>
      </c>
      <c r="E30" s="27" t="s">
        <v>121</v>
      </c>
      <c r="F30" s="28">
        <v>1</v>
      </c>
      <c r="G30" s="28">
        <v>1</v>
      </c>
      <c r="H30" s="28">
        <f t="shared" si="0"/>
        <v>1</v>
      </c>
      <c r="I30" s="29" t="s">
        <v>122</v>
      </c>
      <c r="J30" s="30">
        <v>20</v>
      </c>
      <c r="K30" s="30">
        <v>112.35</v>
      </c>
      <c r="L30" s="31" t="s">
        <v>123</v>
      </c>
      <c r="M30" s="30">
        <f t="shared" si="2"/>
        <v>20</v>
      </c>
      <c r="N30" s="50">
        <v>13</v>
      </c>
      <c r="O30" s="117"/>
      <c r="P30" s="117"/>
      <c r="Q30" s="117">
        <f t="shared" si="3"/>
        <v>20</v>
      </c>
      <c r="R30" s="30">
        <f>M30/(1+N30%)</f>
        <v>17.69911504424779</v>
      </c>
      <c r="S30" s="83"/>
      <c r="T30" s="83"/>
      <c r="U30" s="83"/>
      <c r="V30" s="32" t="s">
        <v>64</v>
      </c>
      <c r="W30" s="33">
        <v>384</v>
      </c>
      <c r="X30" s="30"/>
      <c r="Y30" s="34">
        <f t="shared" si="1"/>
        <v>0</v>
      </c>
      <c r="AA30" s="9"/>
      <c r="AB30" s="35">
        <v>30049099</v>
      </c>
      <c r="AC30" s="35">
        <v>5</v>
      </c>
    </row>
    <row r="31" spans="1:29" x14ac:dyDescent="0.25">
      <c r="A31" s="26" t="s">
        <v>26</v>
      </c>
      <c r="B31" s="27" t="s">
        <v>124</v>
      </c>
      <c r="C31" s="27"/>
      <c r="D31" s="27" t="s">
        <v>125</v>
      </c>
      <c r="E31" s="27" t="s">
        <v>126</v>
      </c>
      <c r="F31" s="28">
        <v>20</v>
      </c>
      <c r="G31" s="28">
        <v>10</v>
      </c>
      <c r="H31" s="28">
        <f t="shared" si="0"/>
        <v>200</v>
      </c>
      <c r="I31" s="29" t="s">
        <v>46</v>
      </c>
      <c r="J31" s="36">
        <v>15</v>
      </c>
      <c r="K31" s="36">
        <v>24.729596892</v>
      </c>
      <c r="L31" s="31" t="s">
        <v>59</v>
      </c>
      <c r="M31" s="30">
        <f t="shared" si="2"/>
        <v>300</v>
      </c>
      <c r="N31" s="106" t="s">
        <v>127</v>
      </c>
      <c r="O31" s="118"/>
      <c r="P31" s="118"/>
      <c r="Q31" s="117">
        <f t="shared" si="3"/>
        <v>300</v>
      </c>
      <c r="R31" s="30">
        <f>M31/(1+N31%)</f>
        <v>300</v>
      </c>
      <c r="S31" s="83">
        <v>297</v>
      </c>
      <c r="T31" s="83">
        <v>327</v>
      </c>
      <c r="U31" s="83">
        <v>342</v>
      </c>
      <c r="V31" s="32"/>
      <c r="W31" s="33">
        <v>60</v>
      </c>
      <c r="X31" s="30"/>
      <c r="Y31" s="34">
        <f t="shared" si="1"/>
        <v>0</v>
      </c>
      <c r="AA31" s="9"/>
      <c r="AB31" s="35">
        <v>30043913</v>
      </c>
      <c r="AC31" s="35">
        <v>5.0000000000000009</v>
      </c>
    </row>
    <row r="32" spans="1:29" x14ac:dyDescent="0.25">
      <c r="A32" s="26" t="s">
        <v>26</v>
      </c>
      <c r="B32" s="27" t="s">
        <v>128</v>
      </c>
      <c r="C32" s="27"/>
      <c r="D32" s="27" t="s">
        <v>129</v>
      </c>
      <c r="E32" s="27" t="s">
        <v>130</v>
      </c>
      <c r="F32" s="28">
        <v>20</v>
      </c>
      <c r="G32" s="28">
        <v>10</v>
      </c>
      <c r="H32" s="28">
        <f>G32*F32</f>
        <v>200</v>
      </c>
      <c r="I32" s="29" t="s">
        <v>46</v>
      </c>
      <c r="J32" s="30">
        <v>44.1</v>
      </c>
      <c r="K32" s="30">
        <v>126.38</v>
      </c>
      <c r="L32" s="31" t="s">
        <v>131</v>
      </c>
      <c r="M32" s="30">
        <f t="shared" si="2"/>
        <v>882</v>
      </c>
      <c r="N32" s="50">
        <v>180</v>
      </c>
      <c r="O32" s="117"/>
      <c r="P32" s="117"/>
      <c r="Q32" s="117">
        <f t="shared" si="3"/>
        <v>882</v>
      </c>
      <c r="R32" s="30">
        <f>M32/(1+N32%)</f>
        <v>315</v>
      </c>
      <c r="S32" s="83">
        <v>308.8</v>
      </c>
      <c r="T32" s="83">
        <v>339.68</v>
      </c>
      <c r="U32" s="83">
        <v>355.12</v>
      </c>
      <c r="V32" s="32"/>
      <c r="W32" s="33">
        <v>45</v>
      </c>
      <c r="X32" s="30"/>
      <c r="Y32" s="34">
        <f t="shared" si="1"/>
        <v>0</v>
      </c>
      <c r="AA32" s="9"/>
      <c r="AB32" s="35">
        <v>30043913</v>
      </c>
      <c r="AC32" s="35">
        <v>5</v>
      </c>
    </row>
    <row r="33" spans="1:29" x14ac:dyDescent="0.25">
      <c r="A33" s="37" t="s">
        <v>26</v>
      </c>
      <c r="B33" s="41" t="s">
        <v>132</v>
      </c>
      <c r="C33" s="41"/>
      <c r="D33" s="38" t="s">
        <v>133</v>
      </c>
      <c r="E33" s="38" t="s">
        <v>134</v>
      </c>
      <c r="F33" s="42">
        <v>40</v>
      </c>
      <c r="G33" s="33">
        <v>10</v>
      </c>
      <c r="H33" s="33">
        <f t="shared" si="0"/>
        <v>400</v>
      </c>
      <c r="I33" s="31" t="s">
        <v>46</v>
      </c>
      <c r="J33" s="30">
        <v>1.55</v>
      </c>
      <c r="K33" s="30">
        <v>2.31</v>
      </c>
      <c r="L33" s="43" t="s">
        <v>135</v>
      </c>
      <c r="M33" s="30">
        <f t="shared" si="2"/>
        <v>62</v>
      </c>
      <c r="N33" s="50">
        <v>23</v>
      </c>
      <c r="O33" s="117"/>
      <c r="P33" s="117"/>
      <c r="Q33" s="117">
        <f t="shared" si="3"/>
        <v>62</v>
      </c>
      <c r="R33" s="30">
        <f>M33/(1+N33%)</f>
        <v>50.40650406504065</v>
      </c>
      <c r="S33" s="83">
        <v>52</v>
      </c>
      <c r="T33" s="83">
        <v>57.2</v>
      </c>
      <c r="U33" s="83">
        <v>59.8</v>
      </c>
      <c r="V33" s="32" t="s">
        <v>136</v>
      </c>
      <c r="W33" s="42">
        <v>128</v>
      </c>
      <c r="X33" s="30"/>
      <c r="Y33" s="34">
        <f t="shared" si="1"/>
        <v>0</v>
      </c>
      <c r="AA33" s="9"/>
      <c r="AB33" s="35">
        <v>30049039</v>
      </c>
      <c r="AC33" s="35">
        <v>5</v>
      </c>
    </row>
    <row r="34" spans="1:29" x14ac:dyDescent="0.25">
      <c r="A34" s="37" t="s">
        <v>26</v>
      </c>
      <c r="B34" s="38" t="s">
        <v>137</v>
      </c>
      <c r="C34" s="38"/>
      <c r="D34" s="38" t="s">
        <v>138</v>
      </c>
      <c r="E34" s="38" t="s">
        <v>134</v>
      </c>
      <c r="F34" s="33">
        <v>100</v>
      </c>
      <c r="G34" s="33">
        <v>10</v>
      </c>
      <c r="H34" s="33">
        <f t="shared" si="0"/>
        <v>1000</v>
      </c>
      <c r="I34" s="31" t="s">
        <v>46</v>
      </c>
      <c r="J34" s="30">
        <v>1.55</v>
      </c>
      <c r="K34" s="30">
        <v>2.31</v>
      </c>
      <c r="L34" s="31" t="s">
        <v>139</v>
      </c>
      <c r="M34" s="30">
        <f t="shared" si="2"/>
        <v>155</v>
      </c>
      <c r="N34" s="50">
        <v>23</v>
      </c>
      <c r="O34" s="117"/>
      <c r="P34" s="117"/>
      <c r="Q34" s="117">
        <f t="shared" si="3"/>
        <v>155</v>
      </c>
      <c r="R34" s="30">
        <f>M34/(1+N34%)</f>
        <v>126.01626016260163</v>
      </c>
      <c r="S34" s="83"/>
      <c r="T34" s="83"/>
      <c r="U34" s="83"/>
      <c r="V34" s="32" t="s">
        <v>64</v>
      </c>
      <c r="W34" s="33">
        <v>48</v>
      </c>
      <c r="X34" s="30"/>
      <c r="Y34" s="34">
        <f t="shared" si="1"/>
        <v>0</v>
      </c>
      <c r="AA34" s="9"/>
      <c r="AB34" s="35">
        <v>30049039</v>
      </c>
      <c r="AC34" s="35">
        <v>5</v>
      </c>
    </row>
    <row r="35" spans="1:29" x14ac:dyDescent="0.25">
      <c r="A35" s="37" t="s">
        <v>26</v>
      </c>
      <c r="B35" s="38" t="s">
        <v>140</v>
      </c>
      <c r="C35" s="38"/>
      <c r="D35" s="38" t="s">
        <v>141</v>
      </c>
      <c r="E35" s="38" t="s">
        <v>142</v>
      </c>
      <c r="F35" s="33">
        <v>12</v>
      </c>
      <c r="G35" s="33">
        <v>200</v>
      </c>
      <c r="H35" s="33">
        <f t="shared" si="0"/>
        <v>2400</v>
      </c>
      <c r="I35" s="31" t="s">
        <v>143</v>
      </c>
      <c r="J35" s="36">
        <v>23.55</v>
      </c>
      <c r="K35" s="30">
        <v>46.2</v>
      </c>
      <c r="L35" s="31" t="s">
        <v>144</v>
      </c>
      <c r="M35" s="30">
        <f t="shared" si="2"/>
        <v>282.60000000000002</v>
      </c>
      <c r="N35" s="50">
        <v>8</v>
      </c>
      <c r="O35" s="117"/>
      <c r="P35" s="117"/>
      <c r="Q35" s="117">
        <f t="shared" si="3"/>
        <v>282.60000000000002</v>
      </c>
      <c r="R35" s="30">
        <f>M35/(1+N35%)</f>
        <v>261.66666666666669</v>
      </c>
      <c r="S35" s="83">
        <v>264.72000000000003</v>
      </c>
      <c r="T35" s="83">
        <v>292</v>
      </c>
      <c r="U35" s="83">
        <v>305</v>
      </c>
      <c r="V35" s="32"/>
      <c r="W35" s="33">
        <v>24</v>
      </c>
      <c r="X35" s="30"/>
      <c r="Y35" s="34">
        <f t="shared" si="1"/>
        <v>0</v>
      </c>
      <c r="AA35" s="9"/>
      <c r="AB35" s="35">
        <v>30049039</v>
      </c>
      <c r="AC35" s="35">
        <v>5</v>
      </c>
    </row>
    <row r="36" spans="1:29" ht="45" customHeight="1" x14ac:dyDescent="0.25">
      <c r="A36" s="26" t="s">
        <v>26</v>
      </c>
      <c r="B36" s="27" t="s">
        <v>145</v>
      </c>
      <c r="C36" s="27"/>
      <c r="D36" s="27" t="s">
        <v>146</v>
      </c>
      <c r="E36" s="44" t="s">
        <v>147</v>
      </c>
      <c r="F36" s="28">
        <v>1</v>
      </c>
      <c r="G36" s="28">
        <v>1</v>
      </c>
      <c r="H36" s="28">
        <f t="shared" si="0"/>
        <v>1</v>
      </c>
      <c r="I36" s="29" t="s">
        <v>148</v>
      </c>
      <c r="J36" s="30">
        <v>5.48</v>
      </c>
      <c r="K36" s="36">
        <v>10.94</v>
      </c>
      <c r="L36" s="31" t="s">
        <v>148</v>
      </c>
      <c r="M36" s="30">
        <f t="shared" si="2"/>
        <v>5.48</v>
      </c>
      <c r="N36" s="50">
        <v>8</v>
      </c>
      <c r="O36" s="117"/>
      <c r="P36" s="117"/>
      <c r="Q36" s="117">
        <f t="shared" si="3"/>
        <v>5.48</v>
      </c>
      <c r="R36" s="30">
        <f>M36/(1+N36%)</f>
        <v>5.0740740740740744</v>
      </c>
      <c r="S36" s="83">
        <v>5.18</v>
      </c>
      <c r="T36" s="83">
        <v>5.65</v>
      </c>
      <c r="U36" s="83">
        <v>6</v>
      </c>
      <c r="V36" s="32"/>
      <c r="W36" s="33">
        <v>2400</v>
      </c>
      <c r="X36" s="30"/>
      <c r="Y36" s="34">
        <f t="shared" si="1"/>
        <v>0</v>
      </c>
      <c r="AA36" s="9"/>
      <c r="AB36" s="35">
        <v>30043913</v>
      </c>
      <c r="AC36" s="35">
        <v>5</v>
      </c>
    </row>
    <row r="37" spans="1:29" x14ac:dyDescent="0.25">
      <c r="A37" s="26" t="s">
        <v>26</v>
      </c>
      <c r="B37" s="27" t="s">
        <v>149</v>
      </c>
      <c r="C37" s="27"/>
      <c r="D37" s="27" t="s">
        <v>150</v>
      </c>
      <c r="E37" s="27" t="s">
        <v>151</v>
      </c>
      <c r="F37" s="28">
        <v>20</v>
      </c>
      <c r="G37" s="28">
        <v>10</v>
      </c>
      <c r="H37" s="28">
        <f t="shared" si="0"/>
        <v>200</v>
      </c>
      <c r="I37" s="29" t="s">
        <v>46</v>
      </c>
      <c r="J37" s="30">
        <v>6.62</v>
      </c>
      <c r="K37" s="30">
        <v>31.03</v>
      </c>
      <c r="L37" s="31" t="s">
        <v>59</v>
      </c>
      <c r="M37" s="30">
        <f t="shared" si="2"/>
        <v>132.4</v>
      </c>
      <c r="N37" s="36">
        <v>25</v>
      </c>
      <c r="O37" s="99"/>
      <c r="P37" s="99"/>
      <c r="Q37" s="117">
        <f t="shared" si="3"/>
        <v>132.4</v>
      </c>
      <c r="R37" s="30">
        <f>M37/(1+N37%)</f>
        <v>105.92</v>
      </c>
      <c r="S37" s="83">
        <v>100.8</v>
      </c>
      <c r="T37" s="83">
        <v>111</v>
      </c>
      <c r="U37" s="83">
        <v>116</v>
      </c>
      <c r="V37" s="32"/>
      <c r="W37" s="33">
        <v>108</v>
      </c>
      <c r="X37" s="30"/>
      <c r="Y37" s="34">
        <f t="shared" si="1"/>
        <v>0</v>
      </c>
      <c r="AA37" s="9"/>
      <c r="AB37" s="35" t="s">
        <v>152</v>
      </c>
      <c r="AC37" s="35">
        <v>5</v>
      </c>
    </row>
    <row r="38" spans="1:29" x14ac:dyDescent="0.25">
      <c r="A38" s="26" t="s">
        <v>26</v>
      </c>
      <c r="B38" s="27" t="s">
        <v>153</v>
      </c>
      <c r="C38" s="27"/>
      <c r="D38" s="27" t="s">
        <v>154</v>
      </c>
      <c r="E38" s="27" t="s">
        <v>151</v>
      </c>
      <c r="F38" s="28">
        <v>120</v>
      </c>
      <c r="G38" s="28">
        <v>10</v>
      </c>
      <c r="H38" s="28">
        <f t="shared" si="0"/>
        <v>1200</v>
      </c>
      <c r="I38" s="29" t="s">
        <v>46</v>
      </c>
      <c r="J38" s="30">
        <v>6.620000000000001</v>
      </c>
      <c r="K38" s="30">
        <v>31.03</v>
      </c>
      <c r="L38" s="31" t="s">
        <v>155</v>
      </c>
      <c r="M38" s="30">
        <f t="shared" si="2"/>
        <v>794.40000000000009</v>
      </c>
      <c r="N38" s="36">
        <v>20</v>
      </c>
      <c r="O38" s="99"/>
      <c r="P38" s="99"/>
      <c r="Q38" s="117">
        <f t="shared" si="3"/>
        <v>794.40000000000009</v>
      </c>
      <c r="R38" s="30">
        <f>M38/(1+N38%)</f>
        <v>662.00000000000011</v>
      </c>
      <c r="S38" s="83"/>
      <c r="T38" s="83"/>
      <c r="U38" s="83"/>
      <c r="V38" s="32" t="s">
        <v>64</v>
      </c>
      <c r="W38" s="33">
        <v>20</v>
      </c>
      <c r="X38" s="30"/>
      <c r="Y38" s="34">
        <f t="shared" si="1"/>
        <v>0</v>
      </c>
      <c r="AA38" s="9"/>
      <c r="AB38" s="35">
        <v>30049069</v>
      </c>
      <c r="AC38" s="35">
        <v>5</v>
      </c>
    </row>
    <row r="39" spans="1:29" x14ac:dyDescent="0.25">
      <c r="A39" s="26" t="s">
        <v>26</v>
      </c>
      <c r="B39" s="27" t="s">
        <v>156</v>
      </c>
      <c r="C39" s="27"/>
      <c r="D39" s="27" t="s">
        <v>157</v>
      </c>
      <c r="E39" s="27" t="s">
        <v>158</v>
      </c>
      <c r="F39" s="28">
        <v>20</v>
      </c>
      <c r="G39" s="28">
        <v>10</v>
      </c>
      <c r="H39" s="28">
        <f>G39*F39</f>
        <v>200</v>
      </c>
      <c r="I39" s="29" t="s">
        <v>88</v>
      </c>
      <c r="J39" s="30">
        <v>23</v>
      </c>
      <c r="K39" s="30">
        <v>72.12</v>
      </c>
      <c r="L39" s="31" t="s">
        <v>159</v>
      </c>
      <c r="M39" s="30">
        <f t="shared" si="2"/>
        <v>460</v>
      </c>
      <c r="N39" s="50">
        <v>0</v>
      </c>
      <c r="O39" s="117"/>
      <c r="P39" s="117"/>
      <c r="Q39" s="117">
        <f t="shared" si="3"/>
        <v>460</v>
      </c>
      <c r="R39" s="30">
        <f t="shared" ref="R39:R70" si="4">M39/(1+N39%)</f>
        <v>460</v>
      </c>
      <c r="S39" s="83"/>
      <c r="T39" s="83"/>
      <c r="U39" s="83"/>
      <c r="V39" s="32" t="s">
        <v>64</v>
      </c>
      <c r="W39" s="33">
        <v>50</v>
      </c>
      <c r="X39" s="30"/>
      <c r="Y39" s="34">
        <f t="shared" si="1"/>
        <v>0</v>
      </c>
      <c r="AA39" s="9"/>
      <c r="AB39" s="35">
        <v>30045037</v>
      </c>
      <c r="AC39" s="35">
        <v>5.0000000000000009</v>
      </c>
    </row>
    <row r="40" spans="1:29" ht="48.75" customHeight="1" x14ac:dyDescent="0.25">
      <c r="A40" s="26" t="s">
        <v>26</v>
      </c>
      <c r="B40" s="27" t="s">
        <v>160</v>
      </c>
      <c r="C40" s="27"/>
      <c r="D40" s="27" t="s">
        <v>161</v>
      </c>
      <c r="E40" s="44" t="s">
        <v>162</v>
      </c>
      <c r="F40" s="28">
        <v>1</v>
      </c>
      <c r="G40" s="28">
        <v>1</v>
      </c>
      <c r="H40" s="28">
        <f t="shared" si="0"/>
        <v>1</v>
      </c>
      <c r="I40" s="29" t="s">
        <v>30</v>
      </c>
      <c r="J40" s="30">
        <v>26.730000000000004</v>
      </c>
      <c r="K40" s="30">
        <v>128.66999999999999</v>
      </c>
      <c r="L40" s="31" t="s">
        <v>30</v>
      </c>
      <c r="M40" s="30">
        <f t="shared" si="2"/>
        <v>26.730000000000004</v>
      </c>
      <c r="N40" s="50">
        <v>0</v>
      </c>
      <c r="O40" s="117"/>
      <c r="P40" s="117"/>
      <c r="Q40" s="117">
        <f t="shared" si="3"/>
        <v>26.730000000000004</v>
      </c>
      <c r="R40" s="30">
        <f t="shared" si="4"/>
        <v>26.730000000000004</v>
      </c>
      <c r="S40" s="83"/>
      <c r="T40" s="83"/>
      <c r="U40" s="83"/>
      <c r="V40" s="32" t="s">
        <v>64</v>
      </c>
      <c r="W40" s="33">
        <v>60</v>
      </c>
      <c r="X40" s="30"/>
      <c r="Y40" s="34">
        <f t="shared" si="1"/>
        <v>0</v>
      </c>
      <c r="AA40" s="9"/>
      <c r="AB40" s="35">
        <v>30049093</v>
      </c>
      <c r="AC40" s="35">
        <v>5</v>
      </c>
    </row>
    <row r="41" spans="1:29" x14ac:dyDescent="0.25">
      <c r="A41" s="26" t="s">
        <v>26</v>
      </c>
      <c r="B41" s="27" t="s">
        <v>163</v>
      </c>
      <c r="C41" s="27"/>
      <c r="D41" s="27" t="s">
        <v>164</v>
      </c>
      <c r="E41" s="27" t="s">
        <v>165</v>
      </c>
      <c r="F41" s="28">
        <v>50</v>
      </c>
      <c r="G41" s="28">
        <v>10</v>
      </c>
      <c r="H41" s="45">
        <f t="shared" si="0"/>
        <v>500</v>
      </c>
      <c r="I41" s="29" t="s">
        <v>46</v>
      </c>
      <c r="J41" s="30">
        <v>7.88</v>
      </c>
      <c r="K41" s="30">
        <v>54.52</v>
      </c>
      <c r="L41" s="31" t="s">
        <v>166</v>
      </c>
      <c r="M41" s="30">
        <f t="shared" si="2"/>
        <v>394</v>
      </c>
      <c r="N41" s="36">
        <v>35</v>
      </c>
      <c r="O41" s="99"/>
      <c r="P41" s="99"/>
      <c r="Q41" s="117">
        <f t="shared" si="3"/>
        <v>394</v>
      </c>
      <c r="R41" s="30">
        <f t="shared" si="4"/>
        <v>291.85185185185185</v>
      </c>
      <c r="S41" s="83"/>
      <c r="T41" s="83"/>
      <c r="U41" s="83"/>
      <c r="V41" s="32" t="s">
        <v>64</v>
      </c>
      <c r="W41" s="33">
        <v>36</v>
      </c>
      <c r="X41" s="30"/>
      <c r="Y41" s="34">
        <f t="shared" si="1"/>
        <v>0</v>
      </c>
      <c r="AA41" s="9"/>
      <c r="AB41" s="35">
        <v>30049069</v>
      </c>
      <c r="AC41" s="35">
        <v>5</v>
      </c>
    </row>
    <row r="42" spans="1:29" ht="79.5" customHeight="1" x14ac:dyDescent="0.25">
      <c r="A42" s="26" t="s">
        <v>26</v>
      </c>
      <c r="B42" s="27" t="s">
        <v>167</v>
      </c>
      <c r="C42" s="27"/>
      <c r="D42" s="27" t="s">
        <v>168</v>
      </c>
      <c r="E42" s="44" t="s">
        <v>169</v>
      </c>
      <c r="F42" s="28">
        <v>1</v>
      </c>
      <c r="G42" s="28">
        <v>1</v>
      </c>
      <c r="H42" s="28">
        <f>G42*F42</f>
        <v>1</v>
      </c>
      <c r="I42" s="29" t="s">
        <v>30</v>
      </c>
      <c r="J42" s="30">
        <v>26.660000000000004</v>
      </c>
      <c r="K42" s="30">
        <v>128.66999999999999</v>
      </c>
      <c r="L42" s="31" t="s">
        <v>30</v>
      </c>
      <c r="M42" s="30">
        <f t="shared" si="2"/>
        <v>26.660000000000004</v>
      </c>
      <c r="N42" s="50">
        <v>0</v>
      </c>
      <c r="O42" s="117"/>
      <c r="P42" s="117"/>
      <c r="Q42" s="117">
        <f t="shared" si="3"/>
        <v>26.660000000000004</v>
      </c>
      <c r="R42" s="30">
        <f t="shared" si="4"/>
        <v>26.660000000000004</v>
      </c>
      <c r="S42" s="83"/>
      <c r="T42" s="83"/>
      <c r="U42" s="83"/>
      <c r="V42" s="32" t="s">
        <v>64</v>
      </c>
      <c r="W42" s="33">
        <v>60</v>
      </c>
      <c r="X42" s="30"/>
      <c r="Y42" s="34">
        <f t="shared" si="1"/>
        <v>0</v>
      </c>
      <c r="AA42" s="9"/>
      <c r="AB42" s="35">
        <v>30049099</v>
      </c>
      <c r="AC42" s="35">
        <v>5</v>
      </c>
    </row>
    <row r="43" spans="1:29" ht="52.5" customHeight="1" x14ac:dyDescent="0.25">
      <c r="A43" s="26" t="s">
        <v>26</v>
      </c>
      <c r="B43" s="27" t="s">
        <v>170</v>
      </c>
      <c r="C43" s="27"/>
      <c r="D43" s="27" t="s">
        <v>171</v>
      </c>
      <c r="E43" s="44" t="s">
        <v>172</v>
      </c>
      <c r="F43" s="28">
        <v>35</v>
      </c>
      <c r="G43" s="28">
        <v>10</v>
      </c>
      <c r="H43" s="28">
        <f t="shared" si="0"/>
        <v>350</v>
      </c>
      <c r="I43" s="29" t="s">
        <v>88</v>
      </c>
      <c r="J43" s="30">
        <v>13.38</v>
      </c>
      <c r="K43" s="30">
        <v>93.52</v>
      </c>
      <c r="L43" s="31" t="s">
        <v>173</v>
      </c>
      <c r="M43" s="30">
        <f t="shared" si="2"/>
        <v>468.3</v>
      </c>
      <c r="N43" s="50">
        <v>10</v>
      </c>
      <c r="O43" s="117"/>
      <c r="P43" s="117"/>
      <c r="Q43" s="117">
        <f t="shared" si="3"/>
        <v>468.3</v>
      </c>
      <c r="R43" s="30">
        <f t="shared" si="4"/>
        <v>425.72727272727269</v>
      </c>
      <c r="S43" s="83"/>
      <c r="T43" s="83"/>
      <c r="U43" s="83"/>
      <c r="V43" s="32" t="s">
        <v>64</v>
      </c>
      <c r="W43" s="33">
        <v>50</v>
      </c>
      <c r="X43" s="30"/>
      <c r="Y43" s="34">
        <f t="shared" si="1"/>
        <v>0</v>
      </c>
      <c r="AA43" s="9"/>
      <c r="AB43" s="35">
        <v>30049099</v>
      </c>
      <c r="AC43" s="35">
        <v>5</v>
      </c>
    </row>
    <row r="44" spans="1:29" ht="21.75" customHeight="1" x14ac:dyDescent="0.25">
      <c r="A44" s="26" t="s">
        <v>26</v>
      </c>
      <c r="B44" s="27" t="s">
        <v>174</v>
      </c>
      <c r="C44" s="27"/>
      <c r="D44" s="27" t="s">
        <v>175</v>
      </c>
      <c r="E44" s="44" t="s">
        <v>176</v>
      </c>
      <c r="F44" s="28">
        <v>10</v>
      </c>
      <c r="G44" s="28">
        <v>10</v>
      </c>
      <c r="H44" s="28">
        <f t="shared" si="0"/>
        <v>100</v>
      </c>
      <c r="I44" s="29" t="s">
        <v>88</v>
      </c>
      <c r="J44" s="30">
        <v>71.66</v>
      </c>
      <c r="K44" s="30">
        <v>308.3</v>
      </c>
      <c r="L44" s="31" t="s">
        <v>177</v>
      </c>
      <c r="M44" s="30">
        <f t="shared" si="2"/>
        <v>716.59999999999991</v>
      </c>
      <c r="N44" s="50">
        <v>10</v>
      </c>
      <c r="O44" s="117"/>
      <c r="P44" s="117"/>
      <c r="Q44" s="117">
        <f t="shared" si="3"/>
        <v>716.59999999999991</v>
      </c>
      <c r="R44" s="30">
        <f t="shared" si="4"/>
        <v>651.45454545454527</v>
      </c>
      <c r="S44" s="83"/>
      <c r="T44" s="83"/>
      <c r="U44" s="83"/>
      <c r="V44" s="32" t="s">
        <v>64</v>
      </c>
      <c r="W44" s="33">
        <v>54</v>
      </c>
      <c r="X44" s="30"/>
      <c r="Y44" s="34">
        <f t="shared" si="1"/>
        <v>0</v>
      </c>
      <c r="AA44" s="9"/>
      <c r="AB44" s="35">
        <v>30043919</v>
      </c>
      <c r="AC44" s="35">
        <v>5</v>
      </c>
    </row>
    <row r="45" spans="1:29" ht="16.5" customHeight="1" x14ac:dyDescent="0.25">
      <c r="A45" s="26" t="s">
        <v>26</v>
      </c>
      <c r="B45" s="27" t="s">
        <v>178</v>
      </c>
      <c r="C45" s="27"/>
      <c r="D45" s="27" t="s">
        <v>179</v>
      </c>
      <c r="E45" s="44" t="s">
        <v>180</v>
      </c>
      <c r="F45" s="28">
        <v>10</v>
      </c>
      <c r="G45" s="28">
        <v>10</v>
      </c>
      <c r="H45" s="28">
        <f t="shared" si="0"/>
        <v>100</v>
      </c>
      <c r="I45" s="29" t="s">
        <v>46</v>
      </c>
      <c r="J45" s="30">
        <v>71.66</v>
      </c>
      <c r="K45" s="30">
        <v>357.8</v>
      </c>
      <c r="L45" s="31" t="s">
        <v>68</v>
      </c>
      <c r="M45" s="30">
        <f t="shared" si="2"/>
        <v>716.59999999999991</v>
      </c>
      <c r="N45" s="50">
        <v>25</v>
      </c>
      <c r="O45" s="117"/>
      <c r="P45" s="117"/>
      <c r="Q45" s="117">
        <f t="shared" si="3"/>
        <v>716.59999999999991</v>
      </c>
      <c r="R45" s="30">
        <f t="shared" si="4"/>
        <v>573.28</v>
      </c>
      <c r="S45" s="83"/>
      <c r="T45" s="83"/>
      <c r="U45" s="83"/>
      <c r="V45" s="32" t="s">
        <v>64</v>
      </c>
      <c r="W45" s="33">
        <v>40</v>
      </c>
      <c r="X45" s="30"/>
      <c r="Y45" s="34">
        <f t="shared" si="1"/>
        <v>0</v>
      </c>
      <c r="AA45" s="9"/>
      <c r="AB45" s="35">
        <v>30043919</v>
      </c>
      <c r="AC45" s="35">
        <v>5</v>
      </c>
    </row>
    <row r="46" spans="1:29" ht="13.5" customHeight="1" x14ac:dyDescent="0.25">
      <c r="A46" s="26" t="s">
        <v>26</v>
      </c>
      <c r="B46" s="27" t="s">
        <v>181</v>
      </c>
      <c r="C46" s="27"/>
      <c r="D46" s="27" t="s">
        <v>182</v>
      </c>
      <c r="E46" s="44" t="s">
        <v>183</v>
      </c>
      <c r="F46" s="28">
        <v>10</v>
      </c>
      <c r="G46" s="28">
        <v>10</v>
      </c>
      <c r="H46" s="28">
        <f t="shared" si="0"/>
        <v>100</v>
      </c>
      <c r="I46" s="29" t="s">
        <v>46</v>
      </c>
      <c r="J46" s="30">
        <v>99.750000000000014</v>
      </c>
      <c r="K46" s="30">
        <v>610.30999999999995</v>
      </c>
      <c r="L46" s="31" t="s">
        <v>68</v>
      </c>
      <c r="M46" s="30">
        <f t="shared" si="2"/>
        <v>997.50000000000011</v>
      </c>
      <c r="N46" s="50">
        <v>25</v>
      </c>
      <c r="O46" s="117"/>
      <c r="P46" s="117"/>
      <c r="Q46" s="117">
        <f t="shared" si="3"/>
        <v>997.50000000000011</v>
      </c>
      <c r="R46" s="30">
        <f t="shared" si="4"/>
        <v>798.00000000000011</v>
      </c>
      <c r="S46" s="83"/>
      <c r="T46" s="83"/>
      <c r="U46" s="83"/>
      <c r="V46" s="32" t="s">
        <v>64</v>
      </c>
      <c r="W46" s="33">
        <v>40</v>
      </c>
      <c r="X46" s="30"/>
      <c r="Y46" s="34">
        <f t="shared" si="1"/>
        <v>0</v>
      </c>
      <c r="AA46" s="9"/>
      <c r="AB46" s="35">
        <v>30043919</v>
      </c>
      <c r="AC46" s="35">
        <v>5</v>
      </c>
    </row>
    <row r="47" spans="1:29" ht="15.75" customHeight="1" x14ac:dyDescent="0.25">
      <c r="A47" s="26" t="s">
        <v>26</v>
      </c>
      <c r="B47" s="27" t="s">
        <v>184</v>
      </c>
      <c r="C47" s="27"/>
      <c r="D47" s="27" t="s">
        <v>185</v>
      </c>
      <c r="E47" s="44" t="s">
        <v>186</v>
      </c>
      <c r="F47" s="28">
        <v>10</v>
      </c>
      <c r="G47" s="28">
        <v>10</v>
      </c>
      <c r="H47" s="28">
        <f>G47*F47</f>
        <v>100</v>
      </c>
      <c r="I47" s="29" t="s">
        <v>88</v>
      </c>
      <c r="J47" s="30">
        <v>20.75</v>
      </c>
      <c r="K47" s="30">
        <v>155.53</v>
      </c>
      <c r="L47" s="31" t="s">
        <v>177</v>
      </c>
      <c r="M47" s="30">
        <f t="shared" si="2"/>
        <v>207.5</v>
      </c>
      <c r="N47" s="50">
        <v>0</v>
      </c>
      <c r="O47" s="117"/>
      <c r="P47" s="117"/>
      <c r="Q47" s="117">
        <f t="shared" si="3"/>
        <v>207.5</v>
      </c>
      <c r="R47" s="30">
        <f t="shared" si="4"/>
        <v>207.5</v>
      </c>
      <c r="S47" s="83"/>
      <c r="T47" s="83"/>
      <c r="U47" s="83"/>
      <c r="V47" s="32" t="s">
        <v>64</v>
      </c>
      <c r="W47" s="33">
        <v>80</v>
      </c>
      <c r="X47" s="30"/>
      <c r="Y47" s="34">
        <f t="shared" si="1"/>
        <v>0</v>
      </c>
      <c r="AA47" s="9"/>
      <c r="AB47" s="35">
        <v>30049099</v>
      </c>
      <c r="AC47" s="35">
        <v>5</v>
      </c>
    </row>
    <row r="48" spans="1:29" ht="15.75" customHeight="1" x14ac:dyDescent="0.25">
      <c r="A48" s="26" t="s">
        <v>26</v>
      </c>
      <c r="B48" s="27" t="s">
        <v>187</v>
      </c>
      <c r="C48" s="27"/>
      <c r="D48" s="27" t="s">
        <v>188</v>
      </c>
      <c r="E48" s="44" t="s">
        <v>189</v>
      </c>
      <c r="F48" s="28">
        <v>10</v>
      </c>
      <c r="G48" s="28">
        <v>10</v>
      </c>
      <c r="H48" s="28">
        <f>G48*F48</f>
        <v>100</v>
      </c>
      <c r="I48" s="29" t="s">
        <v>88</v>
      </c>
      <c r="J48" s="30">
        <v>28.67</v>
      </c>
      <c r="K48" s="30">
        <v>246.56</v>
      </c>
      <c r="L48" s="31" t="s">
        <v>177</v>
      </c>
      <c r="M48" s="30">
        <f t="shared" si="2"/>
        <v>286.70000000000005</v>
      </c>
      <c r="N48" s="50">
        <v>0</v>
      </c>
      <c r="O48" s="117"/>
      <c r="P48" s="117"/>
      <c r="Q48" s="117">
        <f t="shared" si="3"/>
        <v>286.70000000000005</v>
      </c>
      <c r="R48" s="30">
        <f t="shared" si="4"/>
        <v>286.70000000000005</v>
      </c>
      <c r="S48" s="83"/>
      <c r="T48" s="83"/>
      <c r="U48" s="83"/>
      <c r="V48" s="32" t="s">
        <v>64</v>
      </c>
      <c r="W48" s="33">
        <v>80</v>
      </c>
      <c r="X48" s="30"/>
      <c r="Y48" s="34">
        <f t="shared" si="1"/>
        <v>0</v>
      </c>
      <c r="AA48" s="9"/>
      <c r="AB48" s="35">
        <v>30049099</v>
      </c>
      <c r="AC48" s="35">
        <v>5</v>
      </c>
    </row>
    <row r="49" spans="1:29" ht="12.75" customHeight="1" x14ac:dyDescent="0.25">
      <c r="A49" s="26" t="s">
        <v>26</v>
      </c>
      <c r="B49" s="27" t="s">
        <v>190</v>
      </c>
      <c r="C49" s="27"/>
      <c r="D49" s="27" t="s">
        <v>191</v>
      </c>
      <c r="E49" s="44" t="s">
        <v>192</v>
      </c>
      <c r="F49" s="28">
        <v>10</v>
      </c>
      <c r="G49" s="28">
        <v>10</v>
      </c>
      <c r="H49" s="28">
        <f>G49*F49</f>
        <v>100</v>
      </c>
      <c r="I49" s="29" t="s">
        <v>46</v>
      </c>
      <c r="J49" s="30">
        <v>50</v>
      </c>
      <c r="K49" s="36">
        <v>139.57074485199999</v>
      </c>
      <c r="L49" s="31" t="s">
        <v>68</v>
      </c>
      <c r="M49" s="30">
        <f t="shared" si="2"/>
        <v>500</v>
      </c>
      <c r="N49" s="36">
        <v>56</v>
      </c>
      <c r="O49" s="99"/>
      <c r="P49" s="99"/>
      <c r="Q49" s="117">
        <f t="shared" si="3"/>
        <v>500</v>
      </c>
      <c r="R49" s="30">
        <f t="shared" si="4"/>
        <v>320.5128205128205</v>
      </c>
      <c r="S49" s="83"/>
      <c r="T49" s="83"/>
      <c r="U49" s="83"/>
      <c r="V49" s="32" t="s">
        <v>64</v>
      </c>
      <c r="W49" s="33">
        <v>48</v>
      </c>
      <c r="X49" s="30"/>
      <c r="Y49" s="34">
        <f t="shared" si="1"/>
        <v>0</v>
      </c>
      <c r="AA49" s="9"/>
      <c r="AB49" s="35">
        <v>30049079</v>
      </c>
      <c r="AC49" s="35">
        <v>5</v>
      </c>
    </row>
    <row r="50" spans="1:29" ht="29.25" customHeight="1" x14ac:dyDescent="0.25">
      <c r="A50" s="26" t="s">
        <v>26</v>
      </c>
      <c r="B50" s="27" t="s">
        <v>193</v>
      </c>
      <c r="C50" s="27"/>
      <c r="D50" s="27" t="s">
        <v>194</v>
      </c>
      <c r="E50" s="44" t="s">
        <v>195</v>
      </c>
      <c r="F50" s="28">
        <v>1</v>
      </c>
      <c r="G50" s="28">
        <v>1</v>
      </c>
      <c r="H50" s="45">
        <f>G50*F50</f>
        <v>1</v>
      </c>
      <c r="I50" s="29" t="s">
        <v>55</v>
      </c>
      <c r="J50" s="30">
        <v>17.5</v>
      </c>
      <c r="K50" s="36">
        <v>34.834812716000002</v>
      </c>
      <c r="L50" s="31" t="s">
        <v>55</v>
      </c>
      <c r="M50" s="30">
        <f t="shared" si="2"/>
        <v>17.5</v>
      </c>
      <c r="N50" s="50">
        <v>0</v>
      </c>
      <c r="O50" s="117"/>
      <c r="P50" s="117"/>
      <c r="Q50" s="117">
        <f t="shared" si="3"/>
        <v>17.5</v>
      </c>
      <c r="R50" s="30">
        <f t="shared" si="4"/>
        <v>17.5</v>
      </c>
      <c r="S50" s="83"/>
      <c r="T50" s="83"/>
      <c r="U50" s="83"/>
      <c r="V50" s="32" t="s">
        <v>64</v>
      </c>
      <c r="W50" s="33">
        <v>300</v>
      </c>
      <c r="X50" s="30"/>
      <c r="Y50" s="34">
        <f t="shared" si="1"/>
        <v>0</v>
      </c>
      <c r="AA50" s="9"/>
      <c r="AB50" s="35">
        <v>30049099</v>
      </c>
      <c r="AC50" s="35">
        <v>5</v>
      </c>
    </row>
    <row r="51" spans="1:29" x14ac:dyDescent="0.25">
      <c r="A51" s="26" t="s">
        <v>26</v>
      </c>
      <c r="B51" s="27" t="s">
        <v>196</v>
      </c>
      <c r="C51" s="27"/>
      <c r="D51" s="27" t="s">
        <v>197</v>
      </c>
      <c r="E51" s="27" t="s">
        <v>198</v>
      </c>
      <c r="F51" s="28">
        <v>20</v>
      </c>
      <c r="G51" s="28">
        <v>10</v>
      </c>
      <c r="H51" s="28">
        <f t="shared" si="0"/>
        <v>200</v>
      </c>
      <c r="I51" s="29" t="s">
        <v>88</v>
      </c>
      <c r="J51" s="30">
        <v>4.75</v>
      </c>
      <c r="K51" s="36">
        <v>12.017557463999999</v>
      </c>
      <c r="L51" s="31" t="s">
        <v>199</v>
      </c>
      <c r="M51" s="30">
        <f t="shared" si="2"/>
        <v>95</v>
      </c>
      <c r="N51" s="50">
        <v>0</v>
      </c>
      <c r="O51" s="117"/>
      <c r="P51" s="117"/>
      <c r="Q51" s="117">
        <f t="shared" si="3"/>
        <v>95</v>
      </c>
      <c r="R51" s="30">
        <f t="shared" si="4"/>
        <v>95</v>
      </c>
      <c r="S51" s="83">
        <v>99.8</v>
      </c>
      <c r="T51" s="83">
        <v>110</v>
      </c>
      <c r="U51" s="83">
        <v>115</v>
      </c>
      <c r="V51" s="32"/>
      <c r="W51" s="33">
        <v>90</v>
      </c>
      <c r="X51" s="30"/>
      <c r="Y51" s="34">
        <f t="shared" si="1"/>
        <v>0</v>
      </c>
      <c r="AA51" s="9"/>
      <c r="AB51" s="35">
        <v>30049039</v>
      </c>
      <c r="AC51" s="35">
        <v>5</v>
      </c>
    </row>
    <row r="52" spans="1:29" x14ac:dyDescent="0.25">
      <c r="A52" s="26" t="s">
        <v>26</v>
      </c>
      <c r="B52" s="27" t="s">
        <v>200</v>
      </c>
      <c r="C52" s="27"/>
      <c r="D52" s="27" t="s">
        <v>201</v>
      </c>
      <c r="E52" s="27" t="s">
        <v>202</v>
      </c>
      <c r="F52" s="28">
        <v>1</v>
      </c>
      <c r="G52" s="28">
        <v>1</v>
      </c>
      <c r="H52" s="28">
        <f t="shared" si="0"/>
        <v>1</v>
      </c>
      <c r="I52" s="29" t="s">
        <v>52</v>
      </c>
      <c r="J52" s="30">
        <v>35.5</v>
      </c>
      <c r="K52" s="36">
        <v>150</v>
      </c>
      <c r="L52" s="31" t="s">
        <v>52</v>
      </c>
      <c r="M52" s="30">
        <f t="shared" si="2"/>
        <v>35.5</v>
      </c>
      <c r="N52" s="50">
        <v>100</v>
      </c>
      <c r="O52" s="117"/>
      <c r="P52" s="117"/>
      <c r="Q52" s="117">
        <f t="shared" si="3"/>
        <v>35.5</v>
      </c>
      <c r="R52" s="30">
        <f t="shared" si="4"/>
        <v>17.75</v>
      </c>
      <c r="S52" s="83"/>
      <c r="T52" s="83"/>
      <c r="U52" s="83"/>
      <c r="V52" s="32" t="s">
        <v>64</v>
      </c>
      <c r="W52" s="33">
        <v>240</v>
      </c>
      <c r="X52" s="30"/>
      <c r="Y52" s="34">
        <f t="shared" si="1"/>
        <v>0</v>
      </c>
      <c r="AA52" s="9"/>
      <c r="AB52" s="35" t="s">
        <v>203</v>
      </c>
      <c r="AC52" s="35">
        <v>5</v>
      </c>
    </row>
    <row r="53" spans="1:29" x14ac:dyDescent="0.25">
      <c r="A53" s="26" t="s">
        <v>26</v>
      </c>
      <c r="B53" s="27" t="s">
        <v>204</v>
      </c>
      <c r="C53" s="27"/>
      <c r="D53" s="27" t="s">
        <v>205</v>
      </c>
      <c r="E53" s="27" t="s">
        <v>202</v>
      </c>
      <c r="F53" s="28">
        <v>1</v>
      </c>
      <c r="G53" s="28">
        <v>1</v>
      </c>
      <c r="H53" s="28">
        <f t="shared" si="0"/>
        <v>1</v>
      </c>
      <c r="I53" s="29" t="s">
        <v>122</v>
      </c>
      <c r="J53" s="30">
        <v>62.499999999999993</v>
      </c>
      <c r="K53" s="36">
        <v>250</v>
      </c>
      <c r="L53" s="31" t="s">
        <v>122</v>
      </c>
      <c r="M53" s="30">
        <f t="shared" si="2"/>
        <v>62.499999999999993</v>
      </c>
      <c r="N53" s="50">
        <v>100</v>
      </c>
      <c r="O53" s="117"/>
      <c r="P53" s="117"/>
      <c r="Q53" s="117">
        <f t="shared" si="3"/>
        <v>62.499999999999993</v>
      </c>
      <c r="R53" s="30">
        <f t="shared" si="4"/>
        <v>31.249999999999996</v>
      </c>
      <c r="S53" s="83"/>
      <c r="T53" s="83"/>
      <c r="U53" s="83"/>
      <c r="V53" s="32" t="s">
        <v>64</v>
      </c>
      <c r="W53" s="33">
        <v>200</v>
      </c>
      <c r="X53" s="30"/>
      <c r="Y53" s="34">
        <f t="shared" si="1"/>
        <v>0</v>
      </c>
      <c r="AA53" s="9"/>
      <c r="AB53" s="35" t="s">
        <v>203</v>
      </c>
      <c r="AC53" s="35">
        <v>5</v>
      </c>
    </row>
    <row r="54" spans="1:29" x14ac:dyDescent="0.25">
      <c r="A54" s="26" t="s">
        <v>26</v>
      </c>
      <c r="B54" s="27" t="s">
        <v>206</v>
      </c>
      <c r="C54" s="27"/>
      <c r="D54" s="27" t="s">
        <v>207</v>
      </c>
      <c r="E54" s="27" t="s">
        <v>202</v>
      </c>
      <c r="F54" s="28">
        <v>1</v>
      </c>
      <c r="G54" s="28">
        <v>1</v>
      </c>
      <c r="H54" s="28">
        <f t="shared" si="0"/>
        <v>1</v>
      </c>
      <c r="I54" s="29" t="s">
        <v>55</v>
      </c>
      <c r="J54" s="30">
        <v>90</v>
      </c>
      <c r="K54" s="36">
        <v>350</v>
      </c>
      <c r="L54" s="31" t="s">
        <v>55</v>
      </c>
      <c r="M54" s="30">
        <f t="shared" si="2"/>
        <v>90</v>
      </c>
      <c r="N54" s="50">
        <v>100</v>
      </c>
      <c r="O54" s="117"/>
      <c r="P54" s="117"/>
      <c r="Q54" s="117">
        <f t="shared" si="3"/>
        <v>90</v>
      </c>
      <c r="R54" s="30">
        <f t="shared" si="4"/>
        <v>45</v>
      </c>
      <c r="S54" s="83"/>
      <c r="T54" s="83"/>
      <c r="U54" s="83"/>
      <c r="V54" s="32" t="s">
        <v>64</v>
      </c>
      <c r="W54" s="33">
        <v>120</v>
      </c>
      <c r="X54" s="30"/>
      <c r="Y54" s="34">
        <f t="shared" si="1"/>
        <v>0</v>
      </c>
      <c r="AA54" s="9"/>
      <c r="AB54" s="35" t="s">
        <v>203</v>
      </c>
      <c r="AC54" s="35">
        <v>5</v>
      </c>
    </row>
    <row r="55" spans="1:29" x14ac:dyDescent="0.25">
      <c r="A55" s="26" t="s">
        <v>26</v>
      </c>
      <c r="B55" s="27" t="s">
        <v>208</v>
      </c>
      <c r="C55" s="27"/>
      <c r="D55" s="27" t="s">
        <v>209</v>
      </c>
      <c r="E55" s="27" t="s">
        <v>202</v>
      </c>
      <c r="F55" s="28">
        <v>1</v>
      </c>
      <c r="G55" s="28">
        <v>1</v>
      </c>
      <c r="H55" s="28">
        <f>G55*F55</f>
        <v>1</v>
      </c>
      <c r="I55" s="29" t="s">
        <v>210</v>
      </c>
      <c r="J55" s="30">
        <v>60</v>
      </c>
      <c r="K55" s="30">
        <v>407.81</v>
      </c>
      <c r="L55" s="31" t="s">
        <v>210</v>
      </c>
      <c r="M55" s="30">
        <f t="shared" si="2"/>
        <v>60</v>
      </c>
      <c r="N55" s="50">
        <v>0</v>
      </c>
      <c r="O55" s="117"/>
      <c r="P55" s="117"/>
      <c r="Q55" s="117">
        <f t="shared" si="3"/>
        <v>60</v>
      </c>
      <c r="R55" s="30">
        <f t="shared" si="4"/>
        <v>60</v>
      </c>
      <c r="S55" s="83"/>
      <c r="T55" s="83"/>
      <c r="U55" s="83"/>
      <c r="V55" s="32" t="s">
        <v>64</v>
      </c>
      <c r="W55" s="33">
        <v>96</v>
      </c>
      <c r="X55" s="30"/>
      <c r="Y55" s="34">
        <f t="shared" si="1"/>
        <v>0</v>
      </c>
      <c r="AA55" s="9"/>
      <c r="AB55" s="35">
        <v>30049029</v>
      </c>
      <c r="AC55" s="35">
        <v>5.0000000000000009</v>
      </c>
    </row>
    <row r="56" spans="1:29" x14ac:dyDescent="0.25">
      <c r="A56" s="26" t="s">
        <v>26</v>
      </c>
      <c r="B56" s="27" t="s">
        <v>211</v>
      </c>
      <c r="C56" s="27"/>
      <c r="D56" s="27" t="s">
        <v>212</v>
      </c>
      <c r="E56" s="27" t="s">
        <v>213</v>
      </c>
      <c r="F56" s="28">
        <v>1</v>
      </c>
      <c r="G56" s="28">
        <v>1</v>
      </c>
      <c r="H56" s="28">
        <f>G56*F56</f>
        <v>1</v>
      </c>
      <c r="I56" s="29" t="s">
        <v>55</v>
      </c>
      <c r="J56" s="30">
        <v>65.12</v>
      </c>
      <c r="K56" s="30">
        <v>201.09</v>
      </c>
      <c r="L56" s="31" t="s">
        <v>55</v>
      </c>
      <c r="M56" s="30">
        <f t="shared" si="2"/>
        <v>65.12</v>
      </c>
      <c r="N56" s="50">
        <v>0</v>
      </c>
      <c r="O56" s="117"/>
      <c r="P56" s="117"/>
      <c r="Q56" s="117">
        <f t="shared" si="3"/>
        <v>65.12</v>
      </c>
      <c r="R56" s="30">
        <f t="shared" si="4"/>
        <v>65.12</v>
      </c>
      <c r="S56" s="83"/>
      <c r="T56" s="83"/>
      <c r="U56" s="83"/>
      <c r="V56" s="32" t="s">
        <v>64</v>
      </c>
      <c r="W56" s="33">
        <v>30</v>
      </c>
      <c r="X56" s="30"/>
      <c r="Y56" s="34">
        <f t="shared" si="1"/>
        <v>0</v>
      </c>
      <c r="AA56" s="9"/>
      <c r="AB56" s="35">
        <v>30049029</v>
      </c>
      <c r="AC56" s="35">
        <v>5</v>
      </c>
    </row>
    <row r="57" spans="1:29" x14ac:dyDescent="0.25">
      <c r="A57" s="37" t="s">
        <v>26</v>
      </c>
      <c r="B57" s="38" t="s">
        <v>214</v>
      </c>
      <c r="C57" s="38"/>
      <c r="D57" s="38" t="s">
        <v>215</v>
      </c>
      <c r="E57" s="38" t="s">
        <v>216</v>
      </c>
      <c r="F57" s="33">
        <v>30</v>
      </c>
      <c r="G57" s="33">
        <v>10</v>
      </c>
      <c r="H57" s="33">
        <f t="shared" si="0"/>
        <v>300</v>
      </c>
      <c r="I57" s="31" t="s">
        <v>46</v>
      </c>
      <c r="J57" s="30">
        <v>17.190000000000001</v>
      </c>
      <c r="K57" s="30">
        <v>68.77</v>
      </c>
      <c r="L57" s="31" t="s">
        <v>79</v>
      </c>
      <c r="M57" s="30">
        <f t="shared" si="2"/>
        <v>515.70000000000005</v>
      </c>
      <c r="N57" s="50">
        <v>35</v>
      </c>
      <c r="O57" s="117"/>
      <c r="P57" s="117"/>
      <c r="Q57" s="117">
        <f t="shared" si="3"/>
        <v>515.70000000000005</v>
      </c>
      <c r="R57" s="30">
        <f t="shared" si="4"/>
        <v>382</v>
      </c>
      <c r="S57" s="83">
        <v>376.2</v>
      </c>
      <c r="T57" s="83">
        <v>414</v>
      </c>
      <c r="U57" s="83">
        <v>432.63</v>
      </c>
      <c r="V57" s="32" t="s">
        <v>934</v>
      </c>
      <c r="W57" s="33">
        <v>32</v>
      </c>
      <c r="X57" s="30"/>
      <c r="Y57" s="34">
        <f t="shared" si="1"/>
        <v>0</v>
      </c>
      <c r="AA57" s="9"/>
      <c r="AB57" s="35">
        <v>30041030</v>
      </c>
      <c r="AC57" s="35">
        <v>5</v>
      </c>
    </row>
    <row r="58" spans="1:29" x14ac:dyDescent="0.25">
      <c r="A58" s="37" t="s">
        <v>26</v>
      </c>
      <c r="B58" s="38" t="s">
        <v>217</v>
      </c>
      <c r="C58" s="38"/>
      <c r="D58" s="38" t="s">
        <v>218</v>
      </c>
      <c r="E58" s="38" t="s">
        <v>219</v>
      </c>
      <c r="F58" s="33">
        <v>30</v>
      </c>
      <c r="G58" s="33">
        <v>10</v>
      </c>
      <c r="H58" s="33">
        <f t="shared" si="0"/>
        <v>300</v>
      </c>
      <c r="I58" s="31" t="s">
        <v>88</v>
      </c>
      <c r="J58" s="30">
        <v>14.95</v>
      </c>
      <c r="K58" s="36">
        <v>26.209145423999999</v>
      </c>
      <c r="L58" s="31" t="s">
        <v>220</v>
      </c>
      <c r="M58" s="30">
        <f t="shared" si="2"/>
        <v>448.5</v>
      </c>
      <c r="N58" s="50">
        <v>20</v>
      </c>
      <c r="O58" s="117"/>
      <c r="P58" s="117"/>
      <c r="Q58" s="117">
        <f t="shared" si="3"/>
        <v>448.5</v>
      </c>
      <c r="R58" s="30">
        <f t="shared" si="4"/>
        <v>373.75</v>
      </c>
      <c r="S58" s="83"/>
      <c r="T58" s="83"/>
      <c r="U58" s="83"/>
      <c r="V58" s="32" t="s">
        <v>64</v>
      </c>
      <c r="W58" s="33">
        <v>40</v>
      </c>
      <c r="X58" s="30"/>
      <c r="Y58" s="34">
        <f t="shared" si="1"/>
        <v>0</v>
      </c>
      <c r="AA58" s="9"/>
      <c r="AB58" s="35">
        <v>30041030</v>
      </c>
      <c r="AC58" s="35">
        <v>5</v>
      </c>
    </row>
    <row r="59" spans="1:29" x14ac:dyDescent="0.25">
      <c r="A59" s="37" t="s">
        <v>26</v>
      </c>
      <c r="B59" s="38" t="s">
        <v>221</v>
      </c>
      <c r="C59" s="38"/>
      <c r="D59" s="38" t="s">
        <v>222</v>
      </c>
      <c r="E59" s="38" t="s">
        <v>223</v>
      </c>
      <c r="F59" s="33">
        <v>20</v>
      </c>
      <c r="G59" s="33">
        <v>10</v>
      </c>
      <c r="H59" s="33">
        <f t="shared" si="0"/>
        <v>200</v>
      </c>
      <c r="I59" s="31" t="s">
        <v>88</v>
      </c>
      <c r="J59" s="30">
        <v>27.75</v>
      </c>
      <c r="K59" s="30">
        <v>78.52</v>
      </c>
      <c r="L59" s="31" t="s">
        <v>199</v>
      </c>
      <c r="M59" s="30">
        <f t="shared" si="2"/>
        <v>555</v>
      </c>
      <c r="N59" s="50">
        <v>20</v>
      </c>
      <c r="O59" s="117"/>
      <c r="P59" s="117"/>
      <c r="Q59" s="117">
        <f t="shared" si="3"/>
        <v>555</v>
      </c>
      <c r="R59" s="30">
        <f t="shared" si="4"/>
        <v>462.5</v>
      </c>
      <c r="S59" s="83"/>
      <c r="T59" s="83"/>
      <c r="U59" s="83"/>
      <c r="V59" s="32" t="s">
        <v>64</v>
      </c>
      <c r="W59" s="33">
        <v>30</v>
      </c>
      <c r="X59" s="30"/>
      <c r="Y59" s="34">
        <f t="shared" si="1"/>
        <v>0</v>
      </c>
      <c r="AA59" s="9"/>
      <c r="AB59" s="35">
        <v>30041030</v>
      </c>
      <c r="AC59" s="35">
        <v>5.0000000000000009</v>
      </c>
    </row>
    <row r="60" spans="1:29" x14ac:dyDescent="0.25">
      <c r="A60" s="37" t="s">
        <v>26</v>
      </c>
      <c r="B60" s="38" t="s">
        <v>224</v>
      </c>
      <c r="C60" s="38"/>
      <c r="D60" s="38" t="s">
        <v>225</v>
      </c>
      <c r="E60" s="38" t="s">
        <v>226</v>
      </c>
      <c r="F60" s="33">
        <v>20</v>
      </c>
      <c r="G60" s="33">
        <v>6</v>
      </c>
      <c r="H60" s="33">
        <f>G60*F60</f>
        <v>120</v>
      </c>
      <c r="I60" s="31" t="s">
        <v>227</v>
      </c>
      <c r="J60" s="30">
        <v>55</v>
      </c>
      <c r="K60" s="30">
        <v>117.24</v>
      </c>
      <c r="L60" s="31" t="s">
        <v>228</v>
      </c>
      <c r="M60" s="30">
        <f t="shared" si="2"/>
        <v>1100</v>
      </c>
      <c r="N60" s="50">
        <v>67</v>
      </c>
      <c r="O60" s="117"/>
      <c r="P60" s="117"/>
      <c r="Q60" s="117">
        <f t="shared" si="3"/>
        <v>1100</v>
      </c>
      <c r="R60" s="30">
        <f t="shared" si="4"/>
        <v>658.68263473053889</v>
      </c>
      <c r="S60" s="83">
        <v>659</v>
      </c>
      <c r="T60" s="83">
        <v>724.9</v>
      </c>
      <c r="U60" s="83">
        <v>757.85</v>
      </c>
      <c r="V60" s="32"/>
      <c r="W60" s="33">
        <v>40</v>
      </c>
      <c r="X60" s="30"/>
      <c r="Y60" s="34">
        <f t="shared" si="1"/>
        <v>0</v>
      </c>
      <c r="AA60" s="9"/>
      <c r="AB60" s="35">
        <v>30041090</v>
      </c>
      <c r="AC60" s="35">
        <v>5</v>
      </c>
    </row>
    <row r="61" spans="1:29" x14ac:dyDescent="0.25">
      <c r="A61" s="37" t="s">
        <v>26</v>
      </c>
      <c r="B61" s="38" t="s">
        <v>229</v>
      </c>
      <c r="C61" s="38"/>
      <c r="D61" s="38" t="s">
        <v>230</v>
      </c>
      <c r="E61" s="38" t="s">
        <v>226</v>
      </c>
      <c r="F61" s="33">
        <v>10</v>
      </c>
      <c r="G61" s="33">
        <v>10</v>
      </c>
      <c r="H61" s="33">
        <f>G61*F61</f>
        <v>100</v>
      </c>
      <c r="I61" s="31" t="s">
        <v>46</v>
      </c>
      <c r="J61" s="30">
        <v>92</v>
      </c>
      <c r="K61" s="36">
        <v>196.66924024000002</v>
      </c>
      <c r="L61" s="31" t="s">
        <v>68</v>
      </c>
      <c r="M61" s="30">
        <f t="shared" si="2"/>
        <v>920</v>
      </c>
      <c r="N61" s="50">
        <v>67</v>
      </c>
      <c r="O61" s="117"/>
      <c r="P61" s="117"/>
      <c r="Q61" s="117">
        <f t="shared" si="3"/>
        <v>920</v>
      </c>
      <c r="R61" s="30">
        <f t="shared" si="4"/>
        <v>550.89820359281441</v>
      </c>
      <c r="S61" s="83"/>
      <c r="T61" s="83"/>
      <c r="U61" s="83"/>
      <c r="V61" s="32" t="s">
        <v>64</v>
      </c>
      <c r="W61" s="33">
        <v>40</v>
      </c>
      <c r="X61" s="30"/>
      <c r="Y61" s="34">
        <f t="shared" si="1"/>
        <v>0</v>
      </c>
      <c r="AA61" s="9"/>
      <c r="AB61" s="35">
        <v>30041090</v>
      </c>
      <c r="AC61" s="35">
        <v>5</v>
      </c>
    </row>
    <row r="62" spans="1:29" x14ac:dyDescent="0.25">
      <c r="A62" s="37" t="s">
        <v>26</v>
      </c>
      <c r="B62" s="38" t="s">
        <v>231</v>
      </c>
      <c r="C62" s="38"/>
      <c r="D62" s="38" t="s">
        <v>232</v>
      </c>
      <c r="E62" s="38" t="s">
        <v>233</v>
      </c>
      <c r="F62" s="33">
        <v>1</v>
      </c>
      <c r="G62" s="33">
        <v>1</v>
      </c>
      <c r="H62" s="33">
        <f t="shared" si="0"/>
        <v>1</v>
      </c>
      <c r="I62" s="31" t="s">
        <v>234</v>
      </c>
      <c r="J62" s="30">
        <v>32</v>
      </c>
      <c r="K62" s="30">
        <v>64.430000000000007</v>
      </c>
      <c r="L62" s="31" t="s">
        <v>234</v>
      </c>
      <c r="M62" s="30">
        <f t="shared" si="2"/>
        <v>32</v>
      </c>
      <c r="N62" s="50">
        <v>15</v>
      </c>
      <c r="O62" s="117"/>
      <c r="P62" s="117"/>
      <c r="Q62" s="117">
        <f t="shared" si="3"/>
        <v>32</v>
      </c>
      <c r="R62" s="30">
        <f t="shared" si="4"/>
        <v>27.826086956521742</v>
      </c>
      <c r="S62" s="83"/>
      <c r="T62" s="83"/>
      <c r="U62" s="83"/>
      <c r="V62" s="32" t="s">
        <v>64</v>
      </c>
      <c r="W62" s="33">
        <v>200</v>
      </c>
      <c r="X62" s="30"/>
      <c r="Y62" s="34">
        <f t="shared" si="1"/>
        <v>0</v>
      </c>
      <c r="AA62" s="9"/>
      <c r="AB62" s="35">
        <v>30041090</v>
      </c>
      <c r="AC62" s="35">
        <v>5</v>
      </c>
    </row>
    <row r="63" spans="1:29" x14ac:dyDescent="0.25">
      <c r="A63" s="26" t="s">
        <v>26</v>
      </c>
      <c r="B63" s="27" t="s">
        <v>235</v>
      </c>
      <c r="C63" s="27"/>
      <c r="D63" s="27" t="s">
        <v>236</v>
      </c>
      <c r="E63" s="27" t="s">
        <v>237</v>
      </c>
      <c r="F63" s="28">
        <v>1</v>
      </c>
      <c r="G63" s="28">
        <v>1</v>
      </c>
      <c r="H63" s="28">
        <f t="shared" si="0"/>
        <v>1</v>
      </c>
      <c r="I63" s="29" t="s">
        <v>234</v>
      </c>
      <c r="J63" s="30">
        <v>15.600000000000001</v>
      </c>
      <c r="K63" s="30">
        <v>73.5</v>
      </c>
      <c r="L63" s="31" t="s">
        <v>234</v>
      </c>
      <c r="M63" s="30">
        <f t="shared" si="2"/>
        <v>15.600000000000001</v>
      </c>
      <c r="N63" s="50">
        <v>0</v>
      </c>
      <c r="O63" s="117"/>
      <c r="P63" s="117"/>
      <c r="Q63" s="117">
        <f t="shared" si="3"/>
        <v>15.600000000000001</v>
      </c>
      <c r="R63" s="30">
        <f t="shared" si="4"/>
        <v>15.600000000000001</v>
      </c>
      <c r="S63" s="83"/>
      <c r="T63" s="83"/>
      <c r="U63" s="83"/>
      <c r="V63" s="32" t="s">
        <v>64</v>
      </c>
      <c r="W63" s="33">
        <v>200</v>
      </c>
      <c r="X63" s="30"/>
      <c r="Y63" s="34">
        <f t="shared" si="1"/>
        <v>0</v>
      </c>
      <c r="AA63" s="9"/>
      <c r="AB63" s="35">
        <v>30049039</v>
      </c>
      <c r="AC63" s="35">
        <v>5</v>
      </c>
    </row>
    <row r="64" spans="1:29" x14ac:dyDescent="0.25">
      <c r="A64" s="26" t="s">
        <v>26</v>
      </c>
      <c r="B64" s="27" t="s">
        <v>238</v>
      </c>
      <c r="C64" s="27"/>
      <c r="D64" s="27" t="s">
        <v>239</v>
      </c>
      <c r="E64" s="27" t="s">
        <v>240</v>
      </c>
      <c r="F64" s="28">
        <v>20</v>
      </c>
      <c r="G64" s="28">
        <v>10</v>
      </c>
      <c r="H64" s="28">
        <f t="shared" si="0"/>
        <v>200</v>
      </c>
      <c r="I64" s="29" t="s">
        <v>46</v>
      </c>
      <c r="J64" s="30">
        <v>19.82</v>
      </c>
      <c r="K64" s="30">
        <v>75</v>
      </c>
      <c r="L64" s="31" t="s">
        <v>131</v>
      </c>
      <c r="M64" s="30">
        <f t="shared" si="2"/>
        <v>396.4</v>
      </c>
      <c r="N64" s="50">
        <v>40</v>
      </c>
      <c r="O64" s="117"/>
      <c r="P64" s="117"/>
      <c r="Q64" s="117">
        <f t="shared" si="3"/>
        <v>396.4</v>
      </c>
      <c r="R64" s="30">
        <f t="shared" si="4"/>
        <v>283.14285714285717</v>
      </c>
      <c r="S64" s="83"/>
      <c r="T64" s="83"/>
      <c r="U64" s="83"/>
      <c r="V64" s="32" t="s">
        <v>64</v>
      </c>
      <c r="W64" s="33">
        <v>60</v>
      </c>
      <c r="X64" s="30"/>
      <c r="Y64" s="34">
        <f t="shared" si="1"/>
        <v>0</v>
      </c>
      <c r="AA64" s="9" t="s">
        <v>48</v>
      </c>
      <c r="AB64" s="35">
        <v>30049039</v>
      </c>
      <c r="AC64" s="35">
        <v>5</v>
      </c>
    </row>
    <row r="65" spans="1:29" x14ac:dyDescent="0.25">
      <c r="A65" s="26" t="s">
        <v>26</v>
      </c>
      <c r="B65" s="27" t="s">
        <v>241</v>
      </c>
      <c r="C65" s="27"/>
      <c r="D65" s="27" t="s">
        <v>242</v>
      </c>
      <c r="E65" s="27" t="s">
        <v>240</v>
      </c>
      <c r="F65" s="28">
        <v>20</v>
      </c>
      <c r="G65" s="28">
        <v>15</v>
      </c>
      <c r="H65" s="28">
        <f t="shared" si="0"/>
        <v>300</v>
      </c>
      <c r="I65" s="29" t="s">
        <v>112</v>
      </c>
      <c r="J65" s="30">
        <v>27.3</v>
      </c>
      <c r="K65" s="30">
        <v>112.5</v>
      </c>
      <c r="L65" s="31" t="s">
        <v>243</v>
      </c>
      <c r="M65" s="30">
        <f t="shared" si="2"/>
        <v>546</v>
      </c>
      <c r="N65" s="50">
        <v>40</v>
      </c>
      <c r="O65" s="117"/>
      <c r="P65" s="117"/>
      <c r="Q65" s="117">
        <f t="shared" si="3"/>
        <v>546</v>
      </c>
      <c r="R65" s="30">
        <f t="shared" si="4"/>
        <v>390</v>
      </c>
      <c r="S65" s="83"/>
      <c r="T65" s="83"/>
      <c r="U65" s="83"/>
      <c r="V65" s="32" t="s">
        <v>64</v>
      </c>
      <c r="W65" s="33">
        <v>64</v>
      </c>
      <c r="X65" s="30"/>
      <c r="Y65" s="34">
        <f t="shared" si="1"/>
        <v>0</v>
      </c>
      <c r="AA65" s="9"/>
      <c r="AB65" s="35">
        <v>30049039</v>
      </c>
      <c r="AC65" s="35">
        <v>5</v>
      </c>
    </row>
    <row r="66" spans="1:29" x14ac:dyDescent="0.25">
      <c r="A66" s="26" t="s">
        <v>26</v>
      </c>
      <c r="B66" s="27" t="s">
        <v>244</v>
      </c>
      <c r="C66" s="27"/>
      <c r="D66" s="27" t="s">
        <v>245</v>
      </c>
      <c r="E66" s="27" t="s">
        <v>246</v>
      </c>
      <c r="F66" s="28">
        <v>10</v>
      </c>
      <c r="G66" s="28">
        <v>10</v>
      </c>
      <c r="H66" s="28">
        <f>G66*F66</f>
        <v>100</v>
      </c>
      <c r="I66" s="29" t="s">
        <v>46</v>
      </c>
      <c r="J66" s="30">
        <v>37.63000000000001</v>
      </c>
      <c r="K66" s="30">
        <v>277.55</v>
      </c>
      <c r="L66" s="31" t="s">
        <v>247</v>
      </c>
      <c r="M66" s="30">
        <f t="shared" si="2"/>
        <v>376.30000000000007</v>
      </c>
      <c r="N66" s="50">
        <v>25</v>
      </c>
      <c r="O66" s="117"/>
      <c r="P66" s="117"/>
      <c r="Q66" s="117">
        <f t="shared" si="3"/>
        <v>376.30000000000007</v>
      </c>
      <c r="R66" s="30">
        <f t="shared" si="4"/>
        <v>301.04000000000008</v>
      </c>
      <c r="S66" s="83"/>
      <c r="T66" s="83"/>
      <c r="U66" s="83"/>
      <c r="V66" s="32" t="s">
        <v>64</v>
      </c>
      <c r="W66" s="33">
        <v>52</v>
      </c>
      <c r="X66" s="30"/>
      <c r="Y66" s="34">
        <f t="shared" si="1"/>
        <v>0</v>
      </c>
      <c r="AA66" s="9" t="s">
        <v>48</v>
      </c>
      <c r="AB66" s="35">
        <v>30049039</v>
      </c>
      <c r="AC66" s="35">
        <v>5</v>
      </c>
    </row>
    <row r="67" spans="1:29" x14ac:dyDescent="0.25">
      <c r="A67" s="46" t="s">
        <v>26</v>
      </c>
      <c r="B67" s="47" t="s">
        <v>248</v>
      </c>
      <c r="C67" s="47"/>
      <c r="D67" s="47" t="s">
        <v>249</v>
      </c>
      <c r="E67" s="47"/>
      <c r="F67" s="48">
        <v>1</v>
      </c>
      <c r="G67" s="48">
        <v>1</v>
      </c>
      <c r="H67" s="48">
        <v>1</v>
      </c>
      <c r="I67" s="49" t="s">
        <v>250</v>
      </c>
      <c r="J67" s="50">
        <v>19.75</v>
      </c>
      <c r="K67" s="50"/>
      <c r="L67" s="31" t="s">
        <v>250</v>
      </c>
      <c r="M67" s="30">
        <f t="shared" si="2"/>
        <v>19.75</v>
      </c>
      <c r="N67" s="36">
        <v>5</v>
      </c>
      <c r="O67" s="99"/>
      <c r="P67" s="99"/>
      <c r="Q67" s="117">
        <f t="shared" si="3"/>
        <v>19.75</v>
      </c>
      <c r="R67" s="30">
        <f t="shared" si="4"/>
        <v>18.80952380952381</v>
      </c>
      <c r="S67" s="83"/>
      <c r="T67" s="83"/>
      <c r="U67" s="83"/>
      <c r="V67" s="32" t="s">
        <v>64</v>
      </c>
      <c r="W67" s="33">
        <v>600</v>
      </c>
      <c r="X67" s="30"/>
      <c r="Y67" s="34"/>
      <c r="AA67" s="9"/>
      <c r="AB67" s="35"/>
      <c r="AC67" s="35"/>
    </row>
    <row r="68" spans="1:29" x14ac:dyDescent="0.25">
      <c r="A68" s="26" t="s">
        <v>26</v>
      </c>
      <c r="B68" s="27" t="s">
        <v>251</v>
      </c>
      <c r="C68" s="27"/>
      <c r="D68" s="27" t="s">
        <v>252</v>
      </c>
      <c r="E68" s="27" t="s">
        <v>253</v>
      </c>
      <c r="F68" s="28">
        <v>1</v>
      </c>
      <c r="G68" s="28">
        <v>1</v>
      </c>
      <c r="H68" s="28">
        <f t="shared" si="0"/>
        <v>1</v>
      </c>
      <c r="I68" s="29" t="s">
        <v>254</v>
      </c>
      <c r="J68" s="30">
        <v>12.65</v>
      </c>
      <c r="K68" s="30">
        <v>65.39</v>
      </c>
      <c r="L68" s="31" t="s">
        <v>254</v>
      </c>
      <c r="M68" s="30">
        <f t="shared" si="2"/>
        <v>12.65</v>
      </c>
      <c r="N68" s="50">
        <v>0</v>
      </c>
      <c r="O68" s="117"/>
      <c r="P68" s="117"/>
      <c r="Q68" s="117">
        <f t="shared" si="3"/>
        <v>12.65</v>
      </c>
      <c r="R68" s="30">
        <f t="shared" si="4"/>
        <v>12.65</v>
      </c>
      <c r="S68" s="83"/>
      <c r="T68" s="83"/>
      <c r="U68" s="83"/>
      <c r="V68" s="32" t="s">
        <v>64</v>
      </c>
      <c r="W68" s="33">
        <v>200</v>
      </c>
      <c r="X68" s="30"/>
      <c r="Y68" s="34">
        <f t="shared" si="1"/>
        <v>0</v>
      </c>
      <c r="AA68" s="9"/>
      <c r="AB68" s="35">
        <v>30049099</v>
      </c>
      <c r="AC68" s="35">
        <v>5</v>
      </c>
    </row>
    <row r="69" spans="1:29" x14ac:dyDescent="0.25">
      <c r="A69" s="26" t="s">
        <v>26</v>
      </c>
      <c r="B69" s="27" t="s">
        <v>255</v>
      </c>
      <c r="C69" s="27"/>
      <c r="D69" s="27" t="s">
        <v>256</v>
      </c>
      <c r="E69" s="27" t="s">
        <v>257</v>
      </c>
      <c r="F69" s="28">
        <v>30</v>
      </c>
      <c r="G69" s="28">
        <v>10</v>
      </c>
      <c r="H69" s="28">
        <f t="shared" si="0"/>
        <v>300</v>
      </c>
      <c r="I69" s="29" t="s">
        <v>46</v>
      </c>
      <c r="J69" s="30">
        <v>7.88</v>
      </c>
      <c r="K69" s="30">
        <v>44.86</v>
      </c>
      <c r="L69" s="31" t="s">
        <v>79</v>
      </c>
      <c r="M69" s="30">
        <f t="shared" si="2"/>
        <v>236.4</v>
      </c>
      <c r="N69" s="36">
        <v>10</v>
      </c>
      <c r="O69" s="99"/>
      <c r="P69" s="99"/>
      <c r="Q69" s="117">
        <f t="shared" si="3"/>
        <v>236.4</v>
      </c>
      <c r="R69" s="30">
        <f t="shared" si="4"/>
        <v>214.90909090909091</v>
      </c>
      <c r="S69" s="83">
        <v>203.7</v>
      </c>
      <c r="T69" s="83">
        <v>224.07</v>
      </c>
      <c r="U69" s="83">
        <v>234.255</v>
      </c>
      <c r="V69" s="32"/>
      <c r="W69" s="33">
        <v>60</v>
      </c>
      <c r="X69" s="30"/>
      <c r="Y69" s="34">
        <f t="shared" si="1"/>
        <v>0</v>
      </c>
      <c r="AA69" s="9"/>
      <c r="AB69" s="35">
        <v>30049039</v>
      </c>
      <c r="AC69" s="35">
        <v>5</v>
      </c>
    </row>
    <row r="70" spans="1:29" x14ac:dyDescent="0.25">
      <c r="A70" s="26" t="s">
        <v>26</v>
      </c>
      <c r="B70" s="27" t="s">
        <v>258</v>
      </c>
      <c r="C70" s="27"/>
      <c r="D70" s="27" t="s">
        <v>259</v>
      </c>
      <c r="E70" s="27" t="s">
        <v>260</v>
      </c>
      <c r="F70" s="28">
        <v>20</v>
      </c>
      <c r="G70" s="28">
        <v>15</v>
      </c>
      <c r="H70" s="28">
        <f t="shared" si="0"/>
        <v>300</v>
      </c>
      <c r="I70" s="29" t="s">
        <v>261</v>
      </c>
      <c r="J70" s="36">
        <v>10.25</v>
      </c>
      <c r="K70" s="36">
        <v>46.288732644000007</v>
      </c>
      <c r="L70" s="31" t="s">
        <v>262</v>
      </c>
      <c r="M70" s="30">
        <f t="shared" si="2"/>
        <v>205</v>
      </c>
      <c r="N70" s="50">
        <v>0</v>
      </c>
      <c r="O70" s="117"/>
      <c r="P70" s="117"/>
      <c r="Q70" s="117">
        <f t="shared" si="3"/>
        <v>205</v>
      </c>
      <c r="R70" s="30">
        <f t="shared" si="4"/>
        <v>205</v>
      </c>
      <c r="S70" s="83">
        <v>195.6</v>
      </c>
      <c r="T70" s="83">
        <v>216</v>
      </c>
      <c r="U70" s="83">
        <v>225</v>
      </c>
      <c r="V70" s="32"/>
      <c r="W70" s="33">
        <v>40</v>
      </c>
      <c r="X70" s="30"/>
      <c r="Y70" s="34">
        <f t="shared" si="1"/>
        <v>0</v>
      </c>
      <c r="AA70" s="9"/>
      <c r="AB70" s="35">
        <v>30049034</v>
      </c>
      <c r="AC70" s="35">
        <v>5</v>
      </c>
    </row>
    <row r="71" spans="1:29" x14ac:dyDescent="0.25">
      <c r="A71" s="26" t="s">
        <v>26</v>
      </c>
      <c r="B71" s="27" t="s">
        <v>263</v>
      </c>
      <c r="C71" s="27"/>
      <c r="D71" s="27" t="s">
        <v>264</v>
      </c>
      <c r="E71" s="27" t="s">
        <v>265</v>
      </c>
      <c r="F71" s="28">
        <v>20</v>
      </c>
      <c r="G71" s="28">
        <v>15</v>
      </c>
      <c r="H71" s="28">
        <f t="shared" si="0"/>
        <v>300</v>
      </c>
      <c r="I71" s="29" t="s">
        <v>261</v>
      </c>
      <c r="J71" s="30">
        <v>13.3</v>
      </c>
      <c r="K71" s="30">
        <v>131.47999999999999</v>
      </c>
      <c r="L71" s="31" t="s">
        <v>262</v>
      </c>
      <c r="M71" s="30">
        <f t="shared" si="2"/>
        <v>266</v>
      </c>
      <c r="N71" s="36">
        <v>5</v>
      </c>
      <c r="O71" s="99"/>
      <c r="P71" s="99"/>
      <c r="Q71" s="117">
        <f t="shared" si="3"/>
        <v>266</v>
      </c>
      <c r="R71" s="30">
        <f t="shared" ref="R71:R102" si="5">M71/(1+N71%)</f>
        <v>253.33333333333331</v>
      </c>
      <c r="S71" s="83">
        <v>250.6</v>
      </c>
      <c r="T71" s="83">
        <v>276</v>
      </c>
      <c r="U71" s="83">
        <v>289</v>
      </c>
      <c r="V71" s="32"/>
      <c r="W71" s="33">
        <v>36</v>
      </c>
      <c r="X71" s="30"/>
      <c r="Y71" s="34">
        <f t="shared" si="1"/>
        <v>0</v>
      </c>
      <c r="AA71" s="9"/>
      <c r="AB71" s="35">
        <v>30049034</v>
      </c>
      <c r="AC71" s="35">
        <v>5</v>
      </c>
    </row>
    <row r="72" spans="1:29" x14ac:dyDescent="0.25">
      <c r="A72" s="26" t="s">
        <v>26</v>
      </c>
      <c r="B72" s="27" t="s">
        <v>266</v>
      </c>
      <c r="C72" s="27"/>
      <c r="D72" s="27" t="s">
        <v>267</v>
      </c>
      <c r="E72" s="27" t="s">
        <v>268</v>
      </c>
      <c r="F72" s="28">
        <v>30</v>
      </c>
      <c r="G72" s="28">
        <v>10</v>
      </c>
      <c r="H72" s="45">
        <f t="shared" si="0"/>
        <v>300</v>
      </c>
      <c r="I72" s="29" t="s">
        <v>46</v>
      </c>
      <c r="J72" s="30">
        <v>17.370000000000005</v>
      </c>
      <c r="K72" s="30">
        <v>92.95</v>
      </c>
      <c r="L72" s="31" t="s">
        <v>269</v>
      </c>
      <c r="M72" s="30">
        <f t="shared" si="2"/>
        <v>521.10000000000014</v>
      </c>
      <c r="N72" s="50">
        <v>125</v>
      </c>
      <c r="O72" s="117"/>
      <c r="P72" s="117"/>
      <c r="Q72" s="117">
        <f t="shared" ref="Q72:Q135" si="6">M72-O72-P72</f>
        <v>521.10000000000014</v>
      </c>
      <c r="R72" s="30">
        <f t="shared" si="5"/>
        <v>231.60000000000005</v>
      </c>
      <c r="S72" s="83">
        <v>243</v>
      </c>
      <c r="T72" s="83">
        <v>267</v>
      </c>
      <c r="U72" s="83">
        <v>280</v>
      </c>
      <c r="V72" s="32"/>
      <c r="W72" s="33">
        <v>60</v>
      </c>
      <c r="X72" s="30"/>
      <c r="Y72" s="34">
        <f t="shared" ref="Y72:Y135" si="7">(X72*R72)/100000</f>
        <v>0</v>
      </c>
      <c r="AA72" s="9"/>
      <c r="AB72" s="35">
        <v>30049039</v>
      </c>
      <c r="AC72" s="35">
        <v>4.9999999999999991</v>
      </c>
    </row>
    <row r="73" spans="1:29" x14ac:dyDescent="0.25">
      <c r="A73" s="26" t="s">
        <v>26</v>
      </c>
      <c r="B73" s="27" t="s">
        <v>270</v>
      </c>
      <c r="C73" s="27"/>
      <c r="D73" s="27" t="s">
        <v>271</v>
      </c>
      <c r="E73" s="27" t="s">
        <v>272</v>
      </c>
      <c r="F73" s="28">
        <v>20</v>
      </c>
      <c r="G73" s="28">
        <v>10</v>
      </c>
      <c r="H73" s="28">
        <f t="shared" si="0"/>
        <v>200</v>
      </c>
      <c r="I73" s="29" t="s">
        <v>46</v>
      </c>
      <c r="J73" s="36">
        <v>27.39</v>
      </c>
      <c r="K73" s="36">
        <v>189.58</v>
      </c>
      <c r="L73" s="31" t="s">
        <v>273</v>
      </c>
      <c r="M73" s="30">
        <f t="shared" ref="M73:M111" si="8">J73*F73</f>
        <v>547.79999999999995</v>
      </c>
      <c r="N73" s="50">
        <v>44</v>
      </c>
      <c r="O73" s="117"/>
      <c r="P73" s="117"/>
      <c r="Q73" s="117">
        <f t="shared" si="6"/>
        <v>547.79999999999995</v>
      </c>
      <c r="R73" s="30">
        <f t="shared" si="5"/>
        <v>380.41666666666663</v>
      </c>
      <c r="S73" s="83"/>
      <c r="T73" s="83"/>
      <c r="U73" s="83"/>
      <c r="V73" s="32" t="s">
        <v>64</v>
      </c>
      <c r="W73" s="33">
        <v>54</v>
      </c>
      <c r="X73" s="30"/>
      <c r="Y73" s="34">
        <f t="shared" si="7"/>
        <v>0</v>
      </c>
      <c r="AA73" s="9"/>
      <c r="AB73" s="35">
        <v>30049039</v>
      </c>
      <c r="AC73" s="35">
        <v>5</v>
      </c>
    </row>
    <row r="74" spans="1:29" x14ac:dyDescent="0.25">
      <c r="A74" s="26" t="s">
        <v>26</v>
      </c>
      <c r="B74" s="27" t="s">
        <v>274</v>
      </c>
      <c r="C74" s="27"/>
      <c r="D74" s="27" t="s">
        <v>275</v>
      </c>
      <c r="E74" s="27" t="s">
        <v>276</v>
      </c>
      <c r="F74" s="28">
        <v>1</v>
      </c>
      <c r="G74" s="28">
        <v>1</v>
      </c>
      <c r="H74" s="28">
        <f t="shared" si="0"/>
        <v>1</v>
      </c>
      <c r="I74" s="29" t="s">
        <v>83</v>
      </c>
      <c r="J74" s="30">
        <v>20.5</v>
      </c>
      <c r="K74" s="36">
        <v>42.957232208000001</v>
      </c>
      <c r="L74" s="31" t="s">
        <v>83</v>
      </c>
      <c r="M74" s="30">
        <f t="shared" si="8"/>
        <v>20.5</v>
      </c>
      <c r="N74" s="50">
        <v>7.0000000000000009</v>
      </c>
      <c r="O74" s="117"/>
      <c r="P74" s="117"/>
      <c r="Q74" s="117">
        <f t="shared" si="6"/>
        <v>20.5</v>
      </c>
      <c r="R74" s="30">
        <f t="shared" si="5"/>
        <v>19.158878504672895</v>
      </c>
      <c r="S74" s="83"/>
      <c r="T74" s="83"/>
      <c r="U74" s="83"/>
      <c r="V74" s="32" t="s">
        <v>64</v>
      </c>
      <c r="W74" s="33">
        <v>250</v>
      </c>
      <c r="X74" s="30"/>
      <c r="Y74" s="34">
        <f t="shared" si="7"/>
        <v>0</v>
      </c>
      <c r="AA74" s="9"/>
      <c r="AB74" s="35">
        <v>30042019</v>
      </c>
      <c r="AC74" s="35">
        <v>5</v>
      </c>
    </row>
    <row r="75" spans="1:29" x14ac:dyDescent="0.25">
      <c r="A75" s="26" t="s">
        <v>26</v>
      </c>
      <c r="B75" s="27" t="s">
        <v>277</v>
      </c>
      <c r="C75" s="27"/>
      <c r="D75" s="27" t="s">
        <v>278</v>
      </c>
      <c r="E75" s="27" t="s">
        <v>279</v>
      </c>
      <c r="F75" s="28">
        <v>1</v>
      </c>
      <c r="G75" s="28">
        <v>1</v>
      </c>
      <c r="H75" s="28">
        <f t="shared" si="0"/>
        <v>1</v>
      </c>
      <c r="I75" s="29" t="s">
        <v>83</v>
      </c>
      <c r="J75" s="30">
        <v>10.1</v>
      </c>
      <c r="K75" s="36">
        <v>19.052961708000002</v>
      </c>
      <c r="L75" s="31" t="s">
        <v>83</v>
      </c>
      <c r="M75" s="30">
        <f t="shared" si="8"/>
        <v>10.1</v>
      </c>
      <c r="N75" s="50">
        <v>0</v>
      </c>
      <c r="O75" s="117"/>
      <c r="P75" s="117"/>
      <c r="Q75" s="117">
        <f t="shared" si="6"/>
        <v>10.1</v>
      </c>
      <c r="R75" s="30">
        <f t="shared" si="5"/>
        <v>10.1</v>
      </c>
      <c r="S75" s="83"/>
      <c r="T75" s="83"/>
      <c r="U75" s="83"/>
      <c r="V75" s="32" t="s">
        <v>64</v>
      </c>
      <c r="W75" s="33">
        <v>250</v>
      </c>
      <c r="X75" s="30"/>
      <c r="Y75" s="34">
        <f t="shared" si="7"/>
        <v>0</v>
      </c>
      <c r="AA75" s="9"/>
      <c r="AB75" s="35">
        <v>30042019</v>
      </c>
      <c r="AC75" s="35">
        <v>5</v>
      </c>
    </row>
    <row r="76" spans="1:29" x14ac:dyDescent="0.25">
      <c r="A76" s="26" t="s">
        <v>26</v>
      </c>
      <c r="B76" s="27" t="s">
        <v>280</v>
      </c>
      <c r="C76" s="27"/>
      <c r="D76" s="27" t="s">
        <v>281</v>
      </c>
      <c r="E76" s="27" t="s">
        <v>282</v>
      </c>
      <c r="F76" s="28">
        <v>1</v>
      </c>
      <c r="G76" s="28">
        <v>1</v>
      </c>
      <c r="H76" s="28">
        <f t="shared" si="0"/>
        <v>1</v>
      </c>
      <c r="I76" s="29" t="s">
        <v>83</v>
      </c>
      <c r="J76" s="30">
        <v>14.35</v>
      </c>
      <c r="K76" s="36">
        <v>26.2</v>
      </c>
      <c r="L76" s="31" t="s">
        <v>83</v>
      </c>
      <c r="M76" s="30">
        <f t="shared" si="8"/>
        <v>14.35</v>
      </c>
      <c r="N76" s="50">
        <v>0</v>
      </c>
      <c r="O76" s="117"/>
      <c r="P76" s="117"/>
      <c r="Q76" s="117">
        <f t="shared" si="6"/>
        <v>14.35</v>
      </c>
      <c r="R76" s="30">
        <f t="shared" si="5"/>
        <v>14.35</v>
      </c>
      <c r="S76" s="83"/>
      <c r="T76" s="83"/>
      <c r="U76" s="83"/>
      <c r="V76" s="32" t="s">
        <v>64</v>
      </c>
      <c r="W76" s="33">
        <v>250</v>
      </c>
      <c r="X76" s="30"/>
      <c r="Y76" s="34">
        <f t="shared" si="7"/>
        <v>0</v>
      </c>
      <c r="AA76" s="9"/>
      <c r="AB76" s="35">
        <v>30042019</v>
      </c>
      <c r="AC76" s="35">
        <v>5</v>
      </c>
    </row>
    <row r="77" spans="1:29" x14ac:dyDescent="0.25">
      <c r="A77" s="26" t="s">
        <v>26</v>
      </c>
      <c r="B77" s="47" t="s">
        <v>283</v>
      </c>
      <c r="C77" s="47"/>
      <c r="D77" s="27" t="s">
        <v>284</v>
      </c>
      <c r="E77" s="27" t="s">
        <v>285</v>
      </c>
      <c r="F77" s="28">
        <v>20</v>
      </c>
      <c r="G77" s="28">
        <v>10</v>
      </c>
      <c r="H77" s="28">
        <f t="shared" si="0"/>
        <v>200</v>
      </c>
      <c r="I77" s="29" t="s">
        <v>46</v>
      </c>
      <c r="J77" s="30">
        <v>43.05</v>
      </c>
      <c r="K77" s="30">
        <v>99.56</v>
      </c>
      <c r="L77" s="51" t="s">
        <v>131</v>
      </c>
      <c r="M77" s="30">
        <f t="shared" si="8"/>
        <v>861</v>
      </c>
      <c r="N77" s="50">
        <v>90</v>
      </c>
      <c r="O77" s="117"/>
      <c r="P77" s="117"/>
      <c r="Q77" s="117">
        <f t="shared" si="6"/>
        <v>861</v>
      </c>
      <c r="R77" s="30">
        <f t="shared" si="5"/>
        <v>453.15789473684214</v>
      </c>
      <c r="S77" s="83"/>
      <c r="T77" s="83"/>
      <c r="U77" s="83"/>
      <c r="V77" s="32" t="s">
        <v>136</v>
      </c>
      <c r="W77" s="33">
        <v>50</v>
      </c>
      <c r="X77" s="30"/>
      <c r="Y77" s="34">
        <f t="shared" si="7"/>
        <v>0</v>
      </c>
      <c r="AA77" s="9"/>
      <c r="AB77" s="35">
        <v>30042019</v>
      </c>
      <c r="AC77" s="35">
        <v>5</v>
      </c>
    </row>
    <row r="78" spans="1:29" x14ac:dyDescent="0.25">
      <c r="A78" s="26" t="s">
        <v>26</v>
      </c>
      <c r="B78" s="27" t="s">
        <v>286</v>
      </c>
      <c r="C78" s="27"/>
      <c r="D78" s="27" t="s">
        <v>287</v>
      </c>
      <c r="E78" s="27" t="s">
        <v>288</v>
      </c>
      <c r="F78" s="28">
        <v>20</v>
      </c>
      <c r="G78" s="28">
        <v>10</v>
      </c>
      <c r="H78" s="28">
        <f t="shared" si="0"/>
        <v>200</v>
      </c>
      <c r="I78" s="29" t="s">
        <v>46</v>
      </c>
      <c r="J78" s="30">
        <v>37</v>
      </c>
      <c r="K78" s="30">
        <v>104.38</v>
      </c>
      <c r="L78" s="31" t="s">
        <v>131</v>
      </c>
      <c r="M78" s="30">
        <f t="shared" si="8"/>
        <v>740</v>
      </c>
      <c r="N78" s="50">
        <v>20</v>
      </c>
      <c r="O78" s="117"/>
      <c r="P78" s="117"/>
      <c r="Q78" s="117">
        <f t="shared" si="6"/>
        <v>740</v>
      </c>
      <c r="R78" s="30">
        <f t="shared" si="5"/>
        <v>616.66666666666674</v>
      </c>
      <c r="S78" s="83">
        <v>110</v>
      </c>
      <c r="T78" s="83">
        <v>121</v>
      </c>
      <c r="U78" s="83">
        <v>126.5</v>
      </c>
      <c r="V78" s="32"/>
      <c r="W78" s="33">
        <v>60</v>
      </c>
      <c r="X78" s="30"/>
      <c r="Y78" s="34">
        <f t="shared" si="7"/>
        <v>0</v>
      </c>
      <c r="AA78" s="9"/>
      <c r="AB78" s="35">
        <v>30042019</v>
      </c>
      <c r="AC78" s="35">
        <v>5.0000000000000009</v>
      </c>
    </row>
    <row r="79" spans="1:29" x14ac:dyDescent="0.25">
      <c r="A79" s="26" t="s">
        <v>26</v>
      </c>
      <c r="B79" s="27" t="s">
        <v>289</v>
      </c>
      <c r="C79" s="27"/>
      <c r="D79" s="27" t="s">
        <v>290</v>
      </c>
      <c r="E79" s="27" t="s">
        <v>291</v>
      </c>
      <c r="F79" s="28">
        <v>10</v>
      </c>
      <c r="G79" s="28">
        <v>10</v>
      </c>
      <c r="H79" s="28">
        <f t="shared" si="0"/>
        <v>100</v>
      </c>
      <c r="I79" s="29" t="s">
        <v>46</v>
      </c>
      <c r="J79" s="30">
        <v>24.15</v>
      </c>
      <c r="K79" s="30">
        <v>80.06</v>
      </c>
      <c r="L79" s="31" t="s">
        <v>247</v>
      </c>
      <c r="M79" s="30">
        <f t="shared" si="8"/>
        <v>241.5</v>
      </c>
      <c r="N79" s="50">
        <v>50</v>
      </c>
      <c r="O79" s="117"/>
      <c r="P79" s="117"/>
      <c r="Q79" s="117">
        <f t="shared" si="6"/>
        <v>241.5</v>
      </c>
      <c r="R79" s="30">
        <f t="shared" si="5"/>
        <v>161</v>
      </c>
      <c r="S79" s="83"/>
      <c r="T79" s="83"/>
      <c r="U79" s="83"/>
      <c r="V79" s="32" t="s">
        <v>64</v>
      </c>
      <c r="W79" s="33">
        <v>50</v>
      </c>
      <c r="X79" s="30"/>
      <c r="Y79" s="34">
        <f t="shared" si="7"/>
        <v>0</v>
      </c>
      <c r="AA79" s="9"/>
      <c r="AB79" s="35">
        <v>30042019</v>
      </c>
      <c r="AC79" s="35">
        <v>5</v>
      </c>
    </row>
    <row r="80" spans="1:29" x14ac:dyDescent="0.25">
      <c r="A80" s="26" t="s">
        <v>26</v>
      </c>
      <c r="B80" s="27" t="s">
        <v>292</v>
      </c>
      <c r="C80" s="27"/>
      <c r="D80" s="27" t="s">
        <v>293</v>
      </c>
      <c r="E80" s="27" t="s">
        <v>285</v>
      </c>
      <c r="F80" s="28">
        <v>1</v>
      </c>
      <c r="G80" s="28">
        <v>1</v>
      </c>
      <c r="H80" s="28">
        <f t="shared" si="0"/>
        <v>1</v>
      </c>
      <c r="I80" s="29" t="s">
        <v>234</v>
      </c>
      <c r="J80" s="30">
        <v>30</v>
      </c>
      <c r="K80" s="30">
        <v>76.28</v>
      </c>
      <c r="L80" s="31" t="s">
        <v>234</v>
      </c>
      <c r="M80" s="30">
        <f t="shared" si="8"/>
        <v>30</v>
      </c>
      <c r="N80" s="50">
        <v>5</v>
      </c>
      <c r="O80" s="117"/>
      <c r="P80" s="117"/>
      <c r="Q80" s="117">
        <f t="shared" si="6"/>
        <v>30</v>
      </c>
      <c r="R80" s="30">
        <f t="shared" si="5"/>
        <v>28.571428571428569</v>
      </c>
      <c r="S80" s="83"/>
      <c r="T80" s="83"/>
      <c r="U80" s="83"/>
      <c r="V80" s="32" t="s">
        <v>64</v>
      </c>
      <c r="W80" s="33">
        <v>200</v>
      </c>
      <c r="X80" s="30"/>
      <c r="Y80" s="34">
        <f t="shared" si="7"/>
        <v>0</v>
      </c>
      <c r="AA80" s="9"/>
      <c r="AB80" s="35">
        <v>30042019</v>
      </c>
      <c r="AC80" s="35">
        <v>5</v>
      </c>
    </row>
    <row r="81" spans="1:29" x14ac:dyDescent="0.25">
      <c r="A81" s="26" t="s">
        <v>26</v>
      </c>
      <c r="B81" s="27" t="s">
        <v>294</v>
      </c>
      <c r="C81" s="27"/>
      <c r="D81" s="27" t="s">
        <v>295</v>
      </c>
      <c r="E81" s="27" t="s">
        <v>291</v>
      </c>
      <c r="F81" s="28">
        <v>1</v>
      </c>
      <c r="G81" s="28">
        <v>1</v>
      </c>
      <c r="H81" s="28">
        <f t="shared" si="0"/>
        <v>1</v>
      </c>
      <c r="I81" s="29" t="s">
        <v>234</v>
      </c>
      <c r="J81" s="30">
        <v>24</v>
      </c>
      <c r="K81" s="30">
        <v>51.91</v>
      </c>
      <c r="L81" s="31" t="s">
        <v>234</v>
      </c>
      <c r="M81" s="30">
        <f t="shared" si="8"/>
        <v>24</v>
      </c>
      <c r="N81" s="50">
        <v>14.000000000000002</v>
      </c>
      <c r="O81" s="117"/>
      <c r="P81" s="117"/>
      <c r="Q81" s="117">
        <f t="shared" si="6"/>
        <v>24</v>
      </c>
      <c r="R81" s="30">
        <f t="shared" si="5"/>
        <v>21.052631578947366</v>
      </c>
      <c r="S81" s="83"/>
      <c r="T81" s="83"/>
      <c r="U81" s="83"/>
      <c r="V81" s="32" t="s">
        <v>64</v>
      </c>
      <c r="W81" s="33">
        <v>200</v>
      </c>
      <c r="X81" s="30"/>
      <c r="Y81" s="34">
        <f t="shared" si="7"/>
        <v>0</v>
      </c>
      <c r="AA81" s="9"/>
      <c r="AB81" s="35">
        <v>30042019</v>
      </c>
      <c r="AC81" s="35">
        <v>5</v>
      </c>
    </row>
    <row r="82" spans="1:29" x14ac:dyDescent="0.25">
      <c r="A82" s="26" t="s">
        <v>26</v>
      </c>
      <c r="B82" s="27" t="s">
        <v>296</v>
      </c>
      <c r="C82" s="27"/>
      <c r="D82" s="27" t="s">
        <v>297</v>
      </c>
      <c r="E82" s="27" t="s">
        <v>298</v>
      </c>
      <c r="F82" s="28">
        <v>5</v>
      </c>
      <c r="G82" s="28">
        <v>10</v>
      </c>
      <c r="H82" s="28">
        <f t="shared" si="0"/>
        <v>50</v>
      </c>
      <c r="I82" s="29" t="s">
        <v>46</v>
      </c>
      <c r="J82" s="30">
        <v>105.00000000000001</v>
      </c>
      <c r="K82" s="30">
        <v>253.64</v>
      </c>
      <c r="L82" s="31" t="s">
        <v>101</v>
      </c>
      <c r="M82" s="30">
        <f t="shared" si="8"/>
        <v>525.00000000000011</v>
      </c>
      <c r="N82" s="50">
        <v>25</v>
      </c>
      <c r="O82" s="117"/>
      <c r="P82" s="117"/>
      <c r="Q82" s="117">
        <f t="shared" si="6"/>
        <v>525.00000000000011</v>
      </c>
      <c r="R82" s="30">
        <f t="shared" si="5"/>
        <v>420.00000000000011</v>
      </c>
      <c r="S82" s="83"/>
      <c r="T82" s="83"/>
      <c r="U82" s="83"/>
      <c r="V82" s="32" t="s">
        <v>64</v>
      </c>
      <c r="W82" s="33">
        <v>60</v>
      </c>
      <c r="X82" s="30"/>
      <c r="Y82" s="34">
        <f t="shared" si="7"/>
        <v>0</v>
      </c>
      <c r="AA82" s="9"/>
      <c r="AB82" s="35">
        <v>30042019</v>
      </c>
      <c r="AC82" s="35">
        <v>5</v>
      </c>
    </row>
    <row r="83" spans="1:29" x14ac:dyDescent="0.25">
      <c r="A83" s="26" t="s">
        <v>26</v>
      </c>
      <c r="B83" s="27" t="s">
        <v>299</v>
      </c>
      <c r="C83" s="27"/>
      <c r="D83" s="27" t="s">
        <v>300</v>
      </c>
      <c r="E83" s="27" t="s">
        <v>301</v>
      </c>
      <c r="F83" s="28">
        <v>10</v>
      </c>
      <c r="G83" s="28">
        <v>10</v>
      </c>
      <c r="H83" s="28">
        <f t="shared" si="0"/>
        <v>100</v>
      </c>
      <c r="I83" s="29" t="s">
        <v>46</v>
      </c>
      <c r="J83" s="30">
        <v>54.05</v>
      </c>
      <c r="K83" s="30">
        <v>177.89</v>
      </c>
      <c r="L83" s="31" t="s">
        <v>105</v>
      </c>
      <c r="M83" s="30">
        <f t="shared" si="8"/>
        <v>540.5</v>
      </c>
      <c r="N83" s="50">
        <v>15</v>
      </c>
      <c r="O83" s="117"/>
      <c r="P83" s="117"/>
      <c r="Q83" s="117">
        <f t="shared" si="6"/>
        <v>540.5</v>
      </c>
      <c r="R83" s="30">
        <f t="shared" si="5"/>
        <v>470.00000000000006</v>
      </c>
      <c r="S83" s="83">
        <v>451.7</v>
      </c>
      <c r="T83" s="83">
        <v>496.87</v>
      </c>
      <c r="U83" s="83">
        <v>519.45500000000004</v>
      </c>
      <c r="V83" s="32"/>
      <c r="W83" s="33">
        <v>54</v>
      </c>
      <c r="X83" s="30"/>
      <c r="Y83" s="34">
        <f t="shared" si="7"/>
        <v>0</v>
      </c>
      <c r="AA83" s="9"/>
      <c r="AB83" s="35">
        <v>30042019</v>
      </c>
      <c r="AC83" s="35">
        <v>5</v>
      </c>
    </row>
    <row r="84" spans="1:29" x14ac:dyDescent="0.25">
      <c r="A84" s="26" t="s">
        <v>26</v>
      </c>
      <c r="B84" s="27" t="s">
        <v>302</v>
      </c>
      <c r="C84" s="27"/>
      <c r="D84" s="27" t="s">
        <v>303</v>
      </c>
      <c r="E84" s="27" t="s">
        <v>304</v>
      </c>
      <c r="F84" s="28">
        <v>1</v>
      </c>
      <c r="G84" s="28">
        <v>1</v>
      </c>
      <c r="H84" s="28">
        <f t="shared" ref="H84:H163" si="9">G84*F84</f>
        <v>1</v>
      </c>
      <c r="I84" s="29" t="s">
        <v>305</v>
      </c>
      <c r="J84" s="30">
        <v>3.6</v>
      </c>
      <c r="K84" s="36">
        <v>22.81</v>
      </c>
      <c r="L84" s="31" t="s">
        <v>305</v>
      </c>
      <c r="M84" s="30">
        <f t="shared" si="8"/>
        <v>3.6</v>
      </c>
      <c r="N84" s="50">
        <v>0</v>
      </c>
      <c r="O84" s="117"/>
      <c r="P84" s="117"/>
      <c r="Q84" s="117">
        <f t="shared" si="6"/>
        <v>3.6</v>
      </c>
      <c r="R84" s="30">
        <f t="shared" si="5"/>
        <v>3.6</v>
      </c>
      <c r="S84" s="83"/>
      <c r="T84" s="83"/>
      <c r="U84" s="83"/>
      <c r="V84" s="32" t="s">
        <v>64</v>
      </c>
      <c r="W84" s="33">
        <v>540</v>
      </c>
      <c r="X84" s="30"/>
      <c r="Y84" s="34">
        <f t="shared" si="7"/>
        <v>0</v>
      </c>
      <c r="AA84" s="9"/>
      <c r="AB84" s="35">
        <v>30049086</v>
      </c>
      <c r="AC84" s="35">
        <v>5</v>
      </c>
    </row>
    <row r="85" spans="1:29" x14ac:dyDescent="0.25">
      <c r="A85" s="26" t="s">
        <v>26</v>
      </c>
      <c r="B85" s="27" t="s">
        <v>306</v>
      </c>
      <c r="C85" s="27"/>
      <c r="D85" s="27" t="s">
        <v>307</v>
      </c>
      <c r="E85" s="27" t="s">
        <v>304</v>
      </c>
      <c r="F85" s="28">
        <v>1</v>
      </c>
      <c r="G85" s="28">
        <v>1</v>
      </c>
      <c r="H85" s="28">
        <f t="shared" si="9"/>
        <v>1</v>
      </c>
      <c r="I85" s="29" t="s">
        <v>305</v>
      </c>
      <c r="J85" s="30">
        <v>3.6</v>
      </c>
      <c r="K85" s="36">
        <v>22.81</v>
      </c>
      <c r="L85" s="31" t="s">
        <v>305</v>
      </c>
      <c r="M85" s="30">
        <f t="shared" si="8"/>
        <v>3.6</v>
      </c>
      <c r="N85" s="50">
        <v>0</v>
      </c>
      <c r="O85" s="117"/>
      <c r="P85" s="117"/>
      <c r="Q85" s="117">
        <f t="shared" si="6"/>
        <v>3.6</v>
      </c>
      <c r="R85" s="30">
        <f t="shared" si="5"/>
        <v>3.6</v>
      </c>
      <c r="S85" s="83"/>
      <c r="T85" s="83"/>
      <c r="U85" s="83"/>
      <c r="V85" s="32" t="s">
        <v>64</v>
      </c>
      <c r="W85" s="33">
        <v>540</v>
      </c>
      <c r="X85" s="30"/>
      <c r="Y85" s="34">
        <f t="shared" si="7"/>
        <v>0</v>
      </c>
      <c r="AA85" s="9"/>
      <c r="AB85" s="35">
        <v>30049086</v>
      </c>
      <c r="AC85" s="35">
        <v>5</v>
      </c>
    </row>
    <row r="86" spans="1:29" x14ac:dyDescent="0.25">
      <c r="A86" s="26" t="s">
        <v>26</v>
      </c>
      <c r="B86" s="27" t="s">
        <v>308</v>
      </c>
      <c r="C86" s="27"/>
      <c r="D86" s="27" t="s">
        <v>309</v>
      </c>
      <c r="E86" s="27" t="s">
        <v>310</v>
      </c>
      <c r="F86" s="28">
        <v>1</v>
      </c>
      <c r="G86" s="28">
        <v>1</v>
      </c>
      <c r="H86" s="28">
        <f t="shared" si="9"/>
        <v>1</v>
      </c>
      <c r="I86" s="29" t="s">
        <v>311</v>
      </c>
      <c r="J86" s="30">
        <v>22</v>
      </c>
      <c r="K86" s="30">
        <v>52.88</v>
      </c>
      <c r="L86" s="31" t="s">
        <v>311</v>
      </c>
      <c r="M86" s="30">
        <f t="shared" si="8"/>
        <v>22</v>
      </c>
      <c r="N86" s="107" t="s">
        <v>127</v>
      </c>
      <c r="O86" s="119"/>
      <c r="P86" s="119"/>
      <c r="Q86" s="117">
        <f t="shared" si="6"/>
        <v>22</v>
      </c>
      <c r="R86" s="30">
        <f t="shared" si="5"/>
        <v>22</v>
      </c>
      <c r="S86" s="83"/>
      <c r="T86" s="83"/>
      <c r="U86" s="83"/>
      <c r="V86" s="32" t="s">
        <v>64</v>
      </c>
      <c r="W86" s="33">
        <v>96</v>
      </c>
      <c r="X86" s="30"/>
      <c r="Y86" s="34">
        <f t="shared" si="7"/>
        <v>0</v>
      </c>
      <c r="AA86" s="9"/>
      <c r="AB86" s="35">
        <v>30049099</v>
      </c>
      <c r="AC86" s="35">
        <v>4.9999999999999991</v>
      </c>
    </row>
    <row r="87" spans="1:29" x14ac:dyDescent="0.25">
      <c r="A87" s="26" t="s">
        <v>26</v>
      </c>
      <c r="B87" s="27" t="s">
        <v>312</v>
      </c>
      <c r="C87" s="27"/>
      <c r="D87" s="27" t="s">
        <v>313</v>
      </c>
      <c r="E87" s="27" t="s">
        <v>314</v>
      </c>
      <c r="F87" s="28">
        <v>1</v>
      </c>
      <c r="G87" s="28">
        <v>1</v>
      </c>
      <c r="H87" s="28">
        <f t="shared" si="9"/>
        <v>1</v>
      </c>
      <c r="I87" s="29" t="s">
        <v>315</v>
      </c>
      <c r="J87" s="30">
        <v>19</v>
      </c>
      <c r="K87" s="36">
        <v>46.238407864000003</v>
      </c>
      <c r="L87" s="31" t="s">
        <v>315</v>
      </c>
      <c r="M87" s="30">
        <f t="shared" si="8"/>
        <v>19</v>
      </c>
      <c r="N87" s="50">
        <v>0</v>
      </c>
      <c r="O87" s="117"/>
      <c r="P87" s="117"/>
      <c r="Q87" s="117">
        <f t="shared" si="6"/>
        <v>19</v>
      </c>
      <c r="R87" s="30">
        <f t="shared" si="5"/>
        <v>19</v>
      </c>
      <c r="S87" s="83"/>
      <c r="T87" s="83"/>
      <c r="U87" s="83"/>
      <c r="V87" s="32" t="s">
        <v>64</v>
      </c>
      <c r="W87" s="33">
        <v>100</v>
      </c>
      <c r="X87" s="30"/>
      <c r="Y87" s="34">
        <f t="shared" si="7"/>
        <v>0</v>
      </c>
      <c r="AA87" s="9"/>
      <c r="AB87" s="35">
        <v>30032000</v>
      </c>
      <c r="AC87" s="35">
        <v>5</v>
      </c>
    </row>
    <row r="88" spans="1:29" x14ac:dyDescent="0.25">
      <c r="A88" s="26" t="s">
        <v>26</v>
      </c>
      <c r="B88" s="27" t="s">
        <v>316</v>
      </c>
      <c r="C88" s="27"/>
      <c r="D88" s="27" t="s">
        <v>317</v>
      </c>
      <c r="E88" s="27" t="s">
        <v>318</v>
      </c>
      <c r="F88" s="28">
        <v>1</v>
      </c>
      <c r="G88" s="28">
        <v>1</v>
      </c>
      <c r="H88" s="28">
        <f t="shared" si="9"/>
        <v>1</v>
      </c>
      <c r="I88" s="29" t="s">
        <v>122</v>
      </c>
      <c r="J88" s="30">
        <v>12.68</v>
      </c>
      <c r="K88" s="30">
        <v>56.67</v>
      </c>
      <c r="L88" s="31" t="s">
        <v>122</v>
      </c>
      <c r="M88" s="30">
        <f t="shared" si="8"/>
        <v>12.68</v>
      </c>
      <c r="N88" s="50">
        <v>0</v>
      </c>
      <c r="O88" s="117"/>
      <c r="P88" s="117"/>
      <c r="Q88" s="117">
        <f t="shared" si="6"/>
        <v>12.68</v>
      </c>
      <c r="R88" s="30">
        <f t="shared" si="5"/>
        <v>12.68</v>
      </c>
      <c r="S88" s="83">
        <v>13.32</v>
      </c>
      <c r="T88" s="83">
        <v>14.65</v>
      </c>
      <c r="U88" s="83">
        <v>15.3</v>
      </c>
      <c r="V88" s="32"/>
      <c r="W88" s="33">
        <v>400</v>
      </c>
      <c r="X88" s="30"/>
      <c r="Y88" s="34">
        <f t="shared" si="7"/>
        <v>0</v>
      </c>
      <c r="AA88" s="9"/>
      <c r="AB88" s="35">
        <v>30032000</v>
      </c>
      <c r="AC88" s="35">
        <v>5</v>
      </c>
    </row>
    <row r="89" spans="1:29" x14ac:dyDescent="0.25">
      <c r="A89" s="26" t="s">
        <v>26</v>
      </c>
      <c r="B89" s="27" t="s">
        <v>319</v>
      </c>
      <c r="C89" s="27"/>
      <c r="D89" s="27" t="s">
        <v>320</v>
      </c>
      <c r="E89" s="27" t="s">
        <v>318</v>
      </c>
      <c r="F89" s="28">
        <v>1</v>
      </c>
      <c r="G89" s="28">
        <v>1</v>
      </c>
      <c r="H89" s="28">
        <f t="shared" si="9"/>
        <v>1</v>
      </c>
      <c r="I89" s="29" t="s">
        <v>321</v>
      </c>
      <c r="J89" s="30">
        <v>99.22999999999999</v>
      </c>
      <c r="K89" s="30">
        <v>370.83</v>
      </c>
      <c r="L89" s="31" t="s">
        <v>321</v>
      </c>
      <c r="M89" s="30">
        <f t="shared" si="8"/>
        <v>99.22999999999999</v>
      </c>
      <c r="N89" s="50">
        <v>0</v>
      </c>
      <c r="O89" s="117"/>
      <c r="P89" s="117"/>
      <c r="Q89" s="117">
        <f t="shared" si="6"/>
        <v>99.22999999999999</v>
      </c>
      <c r="R89" s="30">
        <f t="shared" si="5"/>
        <v>99.22999999999999</v>
      </c>
      <c r="S89" s="83">
        <v>99.23</v>
      </c>
      <c r="T89" s="83">
        <v>109</v>
      </c>
      <c r="U89" s="83">
        <v>114</v>
      </c>
      <c r="V89" s="32"/>
      <c r="W89" s="33">
        <v>50</v>
      </c>
      <c r="X89" s="30"/>
      <c r="Y89" s="34">
        <f t="shared" si="7"/>
        <v>0</v>
      </c>
      <c r="AA89" s="9"/>
      <c r="AB89" s="35">
        <v>30032000</v>
      </c>
      <c r="AC89" s="35">
        <v>5</v>
      </c>
    </row>
    <row r="90" spans="1:29" x14ac:dyDescent="0.25">
      <c r="A90" s="26" t="s">
        <v>26</v>
      </c>
      <c r="B90" s="27" t="s">
        <v>322</v>
      </c>
      <c r="C90" s="27"/>
      <c r="D90" s="27" t="s">
        <v>323</v>
      </c>
      <c r="E90" s="27" t="s">
        <v>314</v>
      </c>
      <c r="F90" s="28">
        <v>1</v>
      </c>
      <c r="G90" s="28">
        <v>1</v>
      </c>
      <c r="H90" s="28">
        <f t="shared" si="9"/>
        <v>1</v>
      </c>
      <c r="I90" s="29" t="s">
        <v>324</v>
      </c>
      <c r="J90" s="30">
        <v>88</v>
      </c>
      <c r="K90" s="36">
        <v>231.18</v>
      </c>
      <c r="L90" s="31" t="s">
        <v>324</v>
      </c>
      <c r="M90" s="30">
        <f t="shared" si="8"/>
        <v>88</v>
      </c>
      <c r="N90" s="50">
        <v>0</v>
      </c>
      <c r="O90" s="117"/>
      <c r="P90" s="117"/>
      <c r="Q90" s="117">
        <f t="shared" si="6"/>
        <v>88</v>
      </c>
      <c r="R90" s="30">
        <f t="shared" si="5"/>
        <v>88</v>
      </c>
      <c r="S90" s="83"/>
      <c r="T90" s="83"/>
      <c r="U90" s="83"/>
      <c r="V90" s="32" t="s">
        <v>64</v>
      </c>
      <c r="W90" s="33">
        <v>20</v>
      </c>
      <c r="X90" s="30"/>
      <c r="Y90" s="34">
        <f t="shared" si="7"/>
        <v>0</v>
      </c>
      <c r="AA90" s="9"/>
      <c r="AB90" s="35">
        <v>30032000</v>
      </c>
      <c r="AC90" s="35">
        <v>5</v>
      </c>
    </row>
    <row r="91" spans="1:29" x14ac:dyDescent="0.25">
      <c r="A91" s="26" t="s">
        <v>26</v>
      </c>
      <c r="B91" s="27" t="s">
        <v>325</v>
      </c>
      <c r="C91" s="27"/>
      <c r="D91" s="27" t="s">
        <v>326</v>
      </c>
      <c r="E91" s="27" t="s">
        <v>327</v>
      </c>
      <c r="F91" s="28">
        <v>1</v>
      </c>
      <c r="G91" s="28">
        <v>1</v>
      </c>
      <c r="H91" s="28">
        <f t="shared" si="9"/>
        <v>1</v>
      </c>
      <c r="I91" s="29" t="s">
        <v>52</v>
      </c>
      <c r="J91" s="30">
        <v>8.27</v>
      </c>
      <c r="K91" s="30">
        <v>55.97</v>
      </c>
      <c r="L91" s="31" t="s">
        <v>52</v>
      </c>
      <c r="M91" s="30">
        <f t="shared" si="8"/>
        <v>8.27</v>
      </c>
      <c r="N91" s="50">
        <v>0</v>
      </c>
      <c r="O91" s="117"/>
      <c r="P91" s="117"/>
      <c r="Q91" s="117">
        <f t="shared" si="6"/>
        <v>8.27</v>
      </c>
      <c r="R91" s="30">
        <f t="shared" si="5"/>
        <v>8.27</v>
      </c>
      <c r="S91" s="83">
        <v>8.69</v>
      </c>
      <c r="T91" s="83">
        <v>9.6</v>
      </c>
      <c r="U91" s="83">
        <v>10</v>
      </c>
      <c r="V91" s="32"/>
      <c r="W91" s="33">
        <v>600</v>
      </c>
      <c r="X91" s="30"/>
      <c r="Y91" s="34">
        <f t="shared" si="7"/>
        <v>0</v>
      </c>
      <c r="AA91" s="9"/>
      <c r="AB91" s="35">
        <v>30032000</v>
      </c>
      <c r="AC91" s="35">
        <v>5</v>
      </c>
    </row>
    <row r="92" spans="1:29" x14ac:dyDescent="0.25">
      <c r="A92" s="26" t="s">
        <v>26</v>
      </c>
      <c r="B92" s="27" t="s">
        <v>328</v>
      </c>
      <c r="C92" s="27"/>
      <c r="D92" s="27" t="s">
        <v>329</v>
      </c>
      <c r="E92" s="27" t="s">
        <v>330</v>
      </c>
      <c r="F92" s="28">
        <v>1</v>
      </c>
      <c r="G92" s="28">
        <v>1</v>
      </c>
      <c r="H92" s="28">
        <f t="shared" si="9"/>
        <v>1</v>
      </c>
      <c r="I92" s="29" t="s">
        <v>331</v>
      </c>
      <c r="J92" s="30">
        <v>295</v>
      </c>
      <c r="K92" s="36">
        <v>575.63496355199993</v>
      </c>
      <c r="L92" s="31" t="s">
        <v>332</v>
      </c>
      <c r="M92" s="30">
        <f t="shared" si="8"/>
        <v>295</v>
      </c>
      <c r="N92" s="50">
        <v>0</v>
      </c>
      <c r="O92" s="117"/>
      <c r="P92" s="117"/>
      <c r="Q92" s="117">
        <f t="shared" si="6"/>
        <v>295</v>
      </c>
      <c r="R92" s="30">
        <f t="shared" si="5"/>
        <v>295</v>
      </c>
      <c r="S92" s="83"/>
      <c r="T92" s="83"/>
      <c r="U92" s="83"/>
      <c r="V92" s="32" t="s">
        <v>64</v>
      </c>
      <c r="W92" s="33">
        <v>6</v>
      </c>
      <c r="X92" s="30"/>
      <c r="Y92" s="34">
        <f t="shared" si="7"/>
        <v>0</v>
      </c>
      <c r="AA92" s="9"/>
      <c r="AB92" s="35">
        <v>30032000</v>
      </c>
      <c r="AC92" s="35">
        <v>5.0000000000000009</v>
      </c>
    </row>
    <row r="93" spans="1:29" x14ac:dyDescent="0.25">
      <c r="A93" s="26" t="s">
        <v>26</v>
      </c>
      <c r="B93" s="27" t="s">
        <v>333</v>
      </c>
      <c r="C93" s="27"/>
      <c r="D93" s="27" t="s">
        <v>334</v>
      </c>
      <c r="E93" s="52" t="s">
        <v>335</v>
      </c>
      <c r="F93" s="28">
        <v>10</v>
      </c>
      <c r="G93" s="28">
        <v>10</v>
      </c>
      <c r="H93" s="28">
        <f t="shared" si="9"/>
        <v>100</v>
      </c>
      <c r="I93" s="29" t="s">
        <v>88</v>
      </c>
      <c r="J93" s="30">
        <v>17.850000000000001</v>
      </c>
      <c r="K93" s="30">
        <v>101.91</v>
      </c>
      <c r="L93" s="31" t="s">
        <v>336</v>
      </c>
      <c r="M93" s="30">
        <f t="shared" si="8"/>
        <v>178.5</v>
      </c>
      <c r="N93" s="50">
        <v>10</v>
      </c>
      <c r="O93" s="117"/>
      <c r="P93" s="117"/>
      <c r="Q93" s="117">
        <f t="shared" si="6"/>
        <v>178.5</v>
      </c>
      <c r="R93" s="30">
        <f t="shared" si="5"/>
        <v>162.27272727272725</v>
      </c>
      <c r="S93" s="83"/>
      <c r="T93" s="83"/>
      <c r="U93" s="83"/>
      <c r="V93" s="32" t="s">
        <v>64</v>
      </c>
      <c r="W93" s="33">
        <v>24</v>
      </c>
      <c r="X93" s="30"/>
      <c r="Y93" s="34">
        <f t="shared" si="7"/>
        <v>0</v>
      </c>
      <c r="AA93" s="9"/>
      <c r="AB93" s="35">
        <v>30049082</v>
      </c>
      <c r="AC93" s="35">
        <v>5.0000000000000009</v>
      </c>
    </row>
    <row r="94" spans="1:29" ht="23.25" x14ac:dyDescent="0.25">
      <c r="A94" s="26" t="s">
        <v>26</v>
      </c>
      <c r="B94" s="27" t="s">
        <v>337</v>
      </c>
      <c r="C94" s="27"/>
      <c r="D94" s="27" t="s">
        <v>338</v>
      </c>
      <c r="E94" s="52" t="s">
        <v>339</v>
      </c>
      <c r="F94" s="28">
        <v>10</v>
      </c>
      <c r="G94" s="28">
        <v>10</v>
      </c>
      <c r="H94" s="28">
        <f t="shared" si="9"/>
        <v>100</v>
      </c>
      <c r="I94" s="29" t="s">
        <v>88</v>
      </c>
      <c r="J94" s="30">
        <v>25.2</v>
      </c>
      <c r="K94" s="30">
        <v>164.34</v>
      </c>
      <c r="L94" s="31" t="s">
        <v>336</v>
      </c>
      <c r="M94" s="30">
        <f t="shared" si="8"/>
        <v>252</v>
      </c>
      <c r="N94" s="50">
        <v>0</v>
      </c>
      <c r="O94" s="117"/>
      <c r="P94" s="117"/>
      <c r="Q94" s="117">
        <f t="shared" si="6"/>
        <v>252</v>
      </c>
      <c r="R94" s="30">
        <f t="shared" si="5"/>
        <v>252</v>
      </c>
      <c r="S94" s="83"/>
      <c r="T94" s="83"/>
      <c r="U94" s="83"/>
      <c r="V94" s="32" t="s">
        <v>64</v>
      </c>
      <c r="W94" s="33">
        <v>24</v>
      </c>
      <c r="X94" s="30"/>
      <c r="Y94" s="34">
        <f t="shared" si="7"/>
        <v>0</v>
      </c>
      <c r="AA94" s="9"/>
      <c r="AB94" s="35">
        <v>30049082</v>
      </c>
      <c r="AC94" s="35">
        <v>5</v>
      </c>
    </row>
    <row r="95" spans="1:29" ht="23.25" x14ac:dyDescent="0.25">
      <c r="A95" s="26" t="s">
        <v>26</v>
      </c>
      <c r="B95" s="27" t="s">
        <v>340</v>
      </c>
      <c r="C95" s="27"/>
      <c r="D95" s="27" t="s">
        <v>341</v>
      </c>
      <c r="E95" s="52" t="s">
        <v>342</v>
      </c>
      <c r="F95" s="28">
        <v>10</v>
      </c>
      <c r="G95" s="28">
        <v>10</v>
      </c>
      <c r="H95" s="28">
        <f t="shared" si="9"/>
        <v>100</v>
      </c>
      <c r="I95" s="29" t="s">
        <v>46</v>
      </c>
      <c r="J95" s="30">
        <v>23.1</v>
      </c>
      <c r="K95" s="30">
        <v>124.64</v>
      </c>
      <c r="L95" s="31" t="s">
        <v>343</v>
      </c>
      <c r="M95" s="30">
        <f t="shared" si="8"/>
        <v>231</v>
      </c>
      <c r="N95" s="50">
        <v>0</v>
      </c>
      <c r="O95" s="117"/>
      <c r="P95" s="117"/>
      <c r="Q95" s="117">
        <f t="shared" si="6"/>
        <v>231</v>
      </c>
      <c r="R95" s="30">
        <f t="shared" si="5"/>
        <v>231</v>
      </c>
      <c r="S95" s="83"/>
      <c r="T95" s="83"/>
      <c r="U95" s="83"/>
      <c r="V95" s="32" t="s">
        <v>64</v>
      </c>
      <c r="W95" s="33">
        <v>40</v>
      </c>
      <c r="X95" s="30"/>
      <c r="Y95" s="34">
        <f t="shared" si="7"/>
        <v>0</v>
      </c>
      <c r="AA95" s="9"/>
      <c r="AB95" s="35">
        <v>30049082</v>
      </c>
      <c r="AC95" s="35">
        <v>5</v>
      </c>
    </row>
    <row r="96" spans="1:29" ht="22.5" x14ac:dyDescent="0.25">
      <c r="A96" s="26" t="s">
        <v>26</v>
      </c>
      <c r="B96" s="27" t="s">
        <v>344</v>
      </c>
      <c r="C96" s="27"/>
      <c r="D96" s="27" t="s">
        <v>345</v>
      </c>
      <c r="E96" s="44" t="s">
        <v>346</v>
      </c>
      <c r="F96" s="28">
        <v>10</v>
      </c>
      <c r="G96" s="28">
        <v>10</v>
      </c>
      <c r="H96" s="28">
        <f t="shared" si="9"/>
        <v>100</v>
      </c>
      <c r="I96" s="29" t="s">
        <v>46</v>
      </c>
      <c r="J96" s="30">
        <v>42</v>
      </c>
      <c r="K96" s="30">
        <v>215.34</v>
      </c>
      <c r="L96" s="31" t="s">
        <v>343</v>
      </c>
      <c r="M96" s="30">
        <f t="shared" si="8"/>
        <v>420</v>
      </c>
      <c r="N96" s="50">
        <v>10</v>
      </c>
      <c r="O96" s="117"/>
      <c r="P96" s="117"/>
      <c r="Q96" s="117">
        <f t="shared" si="6"/>
        <v>420</v>
      </c>
      <c r="R96" s="30">
        <f t="shared" si="5"/>
        <v>381.81818181818181</v>
      </c>
      <c r="S96" s="83"/>
      <c r="T96" s="83"/>
      <c r="U96" s="83"/>
      <c r="V96" s="32" t="s">
        <v>64</v>
      </c>
      <c r="W96" s="33">
        <v>40</v>
      </c>
      <c r="X96" s="30"/>
      <c r="Y96" s="34">
        <f t="shared" si="7"/>
        <v>0</v>
      </c>
      <c r="AA96" s="9"/>
      <c r="AB96" s="35">
        <v>30049082</v>
      </c>
      <c r="AC96" s="35">
        <v>5</v>
      </c>
    </row>
    <row r="97" spans="1:29" ht="45" x14ac:dyDescent="0.25">
      <c r="A97" s="26" t="s">
        <v>26</v>
      </c>
      <c r="B97" s="27" t="s">
        <v>347</v>
      </c>
      <c r="C97" s="27"/>
      <c r="D97" s="27" t="s">
        <v>348</v>
      </c>
      <c r="E97" s="44" t="s">
        <v>349</v>
      </c>
      <c r="F97" s="28">
        <v>1</v>
      </c>
      <c r="G97" s="28">
        <v>1</v>
      </c>
      <c r="H97" s="28">
        <f t="shared" si="9"/>
        <v>1</v>
      </c>
      <c r="I97" s="29" t="s">
        <v>30</v>
      </c>
      <c r="J97" s="30">
        <v>29.53</v>
      </c>
      <c r="K97" s="30">
        <v>144.05000000000001</v>
      </c>
      <c r="L97" s="31" t="s">
        <v>30</v>
      </c>
      <c r="M97" s="30">
        <f t="shared" si="8"/>
        <v>29.53</v>
      </c>
      <c r="N97" s="50">
        <v>5</v>
      </c>
      <c r="O97" s="117"/>
      <c r="P97" s="117"/>
      <c r="Q97" s="117">
        <f t="shared" si="6"/>
        <v>29.53</v>
      </c>
      <c r="R97" s="30">
        <f t="shared" si="5"/>
        <v>28.123809523809523</v>
      </c>
      <c r="S97" s="83"/>
      <c r="T97" s="83"/>
      <c r="U97" s="83"/>
      <c r="V97" s="32" t="s">
        <v>64</v>
      </c>
      <c r="W97" s="33">
        <v>60</v>
      </c>
      <c r="X97" s="30"/>
      <c r="Y97" s="34">
        <f t="shared" si="7"/>
        <v>0</v>
      </c>
      <c r="AA97" s="9"/>
      <c r="AB97" s="35">
        <v>30049039</v>
      </c>
      <c r="AC97" s="35">
        <v>5</v>
      </c>
    </row>
    <row r="98" spans="1:29" x14ac:dyDescent="0.25">
      <c r="A98" s="26" t="s">
        <v>26</v>
      </c>
      <c r="B98" s="27" t="s">
        <v>350</v>
      </c>
      <c r="C98" s="27"/>
      <c r="D98" s="27" t="s">
        <v>351</v>
      </c>
      <c r="E98" s="44" t="s">
        <v>352</v>
      </c>
      <c r="F98" s="28">
        <v>10</v>
      </c>
      <c r="G98" s="28">
        <v>10</v>
      </c>
      <c r="H98" s="28">
        <f t="shared" si="9"/>
        <v>100</v>
      </c>
      <c r="I98" s="29" t="s">
        <v>46</v>
      </c>
      <c r="J98" s="30">
        <v>64.05</v>
      </c>
      <c r="K98" s="30">
        <v>200.44</v>
      </c>
      <c r="L98" s="31" t="s">
        <v>68</v>
      </c>
      <c r="M98" s="30">
        <f t="shared" si="8"/>
        <v>640.5</v>
      </c>
      <c r="N98" s="50">
        <v>15</v>
      </c>
      <c r="O98" s="117"/>
      <c r="P98" s="117"/>
      <c r="Q98" s="117">
        <f t="shared" si="6"/>
        <v>640.5</v>
      </c>
      <c r="R98" s="30">
        <f t="shared" si="5"/>
        <v>556.95652173913049</v>
      </c>
      <c r="S98" s="83">
        <v>533.70000000000005</v>
      </c>
      <c r="T98" s="83">
        <v>587</v>
      </c>
      <c r="U98" s="83">
        <v>614</v>
      </c>
      <c r="V98" s="32"/>
      <c r="W98" s="33">
        <v>30</v>
      </c>
      <c r="X98" s="30"/>
      <c r="Y98" s="34">
        <f t="shared" si="7"/>
        <v>0</v>
      </c>
      <c r="AA98" s="9" t="s">
        <v>75</v>
      </c>
      <c r="AB98" s="35">
        <v>30049099</v>
      </c>
      <c r="AC98" s="35">
        <v>5</v>
      </c>
    </row>
    <row r="99" spans="1:29" x14ac:dyDescent="0.25">
      <c r="A99" s="26" t="s">
        <v>26</v>
      </c>
      <c r="B99" s="27" t="s">
        <v>353</v>
      </c>
      <c r="C99" s="27"/>
      <c r="D99" s="27" t="s">
        <v>354</v>
      </c>
      <c r="E99" s="44" t="s">
        <v>355</v>
      </c>
      <c r="F99" s="28">
        <v>10</v>
      </c>
      <c r="G99" s="28">
        <v>10</v>
      </c>
      <c r="H99" s="28">
        <f t="shared" si="9"/>
        <v>100</v>
      </c>
      <c r="I99" s="29" t="s">
        <v>46</v>
      </c>
      <c r="J99" s="36">
        <v>111.3</v>
      </c>
      <c r="K99" s="30">
        <v>394.64</v>
      </c>
      <c r="L99" s="31" t="s">
        <v>68</v>
      </c>
      <c r="M99" s="30">
        <f t="shared" si="8"/>
        <v>1113</v>
      </c>
      <c r="N99" s="50">
        <v>20</v>
      </c>
      <c r="O99" s="117"/>
      <c r="P99" s="117"/>
      <c r="Q99" s="117">
        <f t="shared" si="6"/>
        <v>1113</v>
      </c>
      <c r="R99" s="30">
        <f t="shared" si="5"/>
        <v>927.5</v>
      </c>
      <c r="S99" s="83">
        <v>942.6</v>
      </c>
      <c r="T99" s="83">
        <v>1036.8599999999999</v>
      </c>
      <c r="U99" s="83">
        <v>1083.92</v>
      </c>
      <c r="V99" s="32"/>
      <c r="W99" s="33">
        <v>24</v>
      </c>
      <c r="X99" s="30"/>
      <c r="Y99" s="34">
        <f t="shared" si="7"/>
        <v>0</v>
      </c>
      <c r="AA99" s="9" t="s">
        <v>75</v>
      </c>
      <c r="AB99" s="35">
        <v>30049099</v>
      </c>
      <c r="AC99" s="35">
        <v>5</v>
      </c>
    </row>
    <row r="100" spans="1:29" x14ac:dyDescent="0.25">
      <c r="A100" s="26" t="s">
        <v>26</v>
      </c>
      <c r="B100" s="27" t="s">
        <v>356</v>
      </c>
      <c r="C100" s="27"/>
      <c r="D100" s="27" t="s">
        <v>357</v>
      </c>
      <c r="E100" s="44" t="s">
        <v>358</v>
      </c>
      <c r="F100" s="28">
        <v>10</v>
      </c>
      <c r="G100" s="28">
        <v>10</v>
      </c>
      <c r="H100" s="28">
        <f t="shared" si="9"/>
        <v>100</v>
      </c>
      <c r="I100" s="29" t="s">
        <v>46</v>
      </c>
      <c r="J100" s="30">
        <v>147</v>
      </c>
      <c r="K100" s="30">
        <v>438.14</v>
      </c>
      <c r="L100" s="31" t="s">
        <v>68</v>
      </c>
      <c r="M100" s="30">
        <f t="shared" si="8"/>
        <v>1470</v>
      </c>
      <c r="N100" s="50">
        <v>25</v>
      </c>
      <c r="O100" s="117"/>
      <c r="P100" s="117"/>
      <c r="Q100" s="117">
        <f t="shared" si="6"/>
        <v>1470</v>
      </c>
      <c r="R100" s="30">
        <f t="shared" si="5"/>
        <v>1176</v>
      </c>
      <c r="S100" s="83"/>
      <c r="T100" s="83"/>
      <c r="U100" s="83"/>
      <c r="V100" s="32" t="s">
        <v>64</v>
      </c>
      <c r="W100" s="33">
        <v>24</v>
      </c>
      <c r="X100" s="30"/>
      <c r="Y100" s="34">
        <f t="shared" si="7"/>
        <v>0</v>
      </c>
      <c r="AA100" s="9" t="s">
        <v>75</v>
      </c>
      <c r="AB100" s="35">
        <v>30049099</v>
      </c>
      <c r="AC100" s="35">
        <v>5</v>
      </c>
    </row>
    <row r="101" spans="1:29" ht="22.5" x14ac:dyDescent="0.25">
      <c r="A101" s="26" t="s">
        <v>26</v>
      </c>
      <c r="B101" s="27" t="s">
        <v>359</v>
      </c>
      <c r="C101" s="27"/>
      <c r="D101" s="27" t="s">
        <v>360</v>
      </c>
      <c r="E101" s="44" t="s">
        <v>361</v>
      </c>
      <c r="F101" s="28">
        <v>1</v>
      </c>
      <c r="G101" s="28">
        <v>1</v>
      </c>
      <c r="H101" s="28">
        <f t="shared" si="9"/>
        <v>1</v>
      </c>
      <c r="I101" s="29" t="s">
        <v>315</v>
      </c>
      <c r="J101" s="30">
        <v>27.83</v>
      </c>
      <c r="K101" s="30">
        <v>97.97</v>
      </c>
      <c r="L101" s="31" t="s">
        <v>315</v>
      </c>
      <c r="M101" s="30">
        <f t="shared" si="8"/>
        <v>27.83</v>
      </c>
      <c r="N101" s="50">
        <v>10</v>
      </c>
      <c r="O101" s="117"/>
      <c r="P101" s="117"/>
      <c r="Q101" s="117">
        <f t="shared" si="6"/>
        <v>27.83</v>
      </c>
      <c r="R101" s="30">
        <f t="shared" si="5"/>
        <v>25.299999999999997</v>
      </c>
      <c r="S101" s="83"/>
      <c r="T101" s="83"/>
      <c r="U101" s="83"/>
      <c r="V101" s="32" t="s">
        <v>64</v>
      </c>
      <c r="W101" s="33">
        <v>100</v>
      </c>
      <c r="X101" s="30"/>
      <c r="Y101" s="34">
        <f t="shared" si="7"/>
        <v>0</v>
      </c>
      <c r="AA101" s="9"/>
      <c r="AB101" s="35">
        <v>30049099</v>
      </c>
      <c r="AC101" s="35">
        <v>5</v>
      </c>
    </row>
    <row r="102" spans="1:29" x14ac:dyDescent="0.25">
      <c r="A102" s="26" t="s">
        <v>26</v>
      </c>
      <c r="B102" s="27" t="s">
        <v>362</v>
      </c>
      <c r="C102" s="27"/>
      <c r="D102" s="27" t="s">
        <v>363</v>
      </c>
      <c r="E102" s="27" t="s">
        <v>364</v>
      </c>
      <c r="F102" s="28">
        <v>30</v>
      </c>
      <c r="G102" s="28">
        <v>10</v>
      </c>
      <c r="H102" s="28">
        <f t="shared" si="9"/>
        <v>300</v>
      </c>
      <c r="I102" s="29" t="s">
        <v>46</v>
      </c>
      <c r="J102" s="30">
        <v>7.5</v>
      </c>
      <c r="K102" s="30">
        <v>49.25</v>
      </c>
      <c r="L102" s="31" t="s">
        <v>79</v>
      </c>
      <c r="M102" s="30">
        <f t="shared" si="8"/>
        <v>225</v>
      </c>
      <c r="N102" s="50">
        <v>0</v>
      </c>
      <c r="O102" s="117"/>
      <c r="P102" s="117"/>
      <c r="Q102" s="117">
        <f t="shared" si="6"/>
        <v>225</v>
      </c>
      <c r="R102" s="30">
        <f t="shared" si="5"/>
        <v>225</v>
      </c>
      <c r="S102" s="83"/>
      <c r="T102" s="83"/>
      <c r="U102" s="83"/>
      <c r="V102" s="32" t="s">
        <v>64</v>
      </c>
      <c r="W102" s="33">
        <v>40</v>
      </c>
      <c r="X102" s="30"/>
      <c r="Y102" s="34">
        <f t="shared" si="7"/>
        <v>0</v>
      </c>
      <c r="AA102" s="9"/>
      <c r="AB102" s="35">
        <v>30049099</v>
      </c>
      <c r="AC102" s="35">
        <v>5</v>
      </c>
    </row>
    <row r="103" spans="1:29" x14ac:dyDescent="0.25">
      <c r="A103" s="26" t="s">
        <v>26</v>
      </c>
      <c r="B103" s="27" t="s">
        <v>365</v>
      </c>
      <c r="C103" s="27"/>
      <c r="D103" s="27" t="s">
        <v>366</v>
      </c>
      <c r="E103" s="27" t="s">
        <v>367</v>
      </c>
      <c r="F103" s="28">
        <v>1</v>
      </c>
      <c r="G103" s="28">
        <v>1</v>
      </c>
      <c r="H103" s="28">
        <f t="shared" si="9"/>
        <v>1</v>
      </c>
      <c r="I103" s="29" t="s">
        <v>52</v>
      </c>
      <c r="J103" s="30">
        <v>7.990000000000002</v>
      </c>
      <c r="K103" s="30">
        <v>81.75</v>
      </c>
      <c r="L103" s="31" t="s">
        <v>52</v>
      </c>
      <c r="M103" s="30">
        <f t="shared" si="8"/>
        <v>7.990000000000002</v>
      </c>
      <c r="N103" s="50">
        <v>0</v>
      </c>
      <c r="O103" s="117"/>
      <c r="P103" s="117"/>
      <c r="Q103" s="117">
        <f t="shared" si="6"/>
        <v>7.990000000000002</v>
      </c>
      <c r="R103" s="30">
        <f t="shared" ref="R103:R111" si="10">M103/(1+N103%)</f>
        <v>7.990000000000002</v>
      </c>
      <c r="S103" s="83">
        <v>8.14</v>
      </c>
      <c r="T103" s="83">
        <v>8.9540000000000006</v>
      </c>
      <c r="U103" s="83">
        <v>9.3610000000000007</v>
      </c>
      <c r="V103" s="32"/>
      <c r="W103" s="33">
        <v>720</v>
      </c>
      <c r="X103" s="30"/>
      <c r="Y103" s="34">
        <f t="shared" si="7"/>
        <v>0</v>
      </c>
      <c r="AA103" s="9"/>
      <c r="AB103" s="35">
        <v>30049099</v>
      </c>
      <c r="AC103" s="35">
        <v>5</v>
      </c>
    </row>
    <row r="104" spans="1:29" x14ac:dyDescent="0.25">
      <c r="A104" s="26" t="s">
        <v>26</v>
      </c>
      <c r="B104" s="27" t="s">
        <v>368</v>
      </c>
      <c r="C104" s="27"/>
      <c r="D104" s="27" t="s">
        <v>369</v>
      </c>
      <c r="E104" s="27" t="s">
        <v>370</v>
      </c>
      <c r="F104" s="28">
        <v>15</v>
      </c>
      <c r="G104" s="28">
        <v>7</v>
      </c>
      <c r="H104" s="28">
        <f t="shared" si="9"/>
        <v>105</v>
      </c>
      <c r="I104" s="29" t="s">
        <v>371</v>
      </c>
      <c r="J104" s="30">
        <v>30.39</v>
      </c>
      <c r="K104" s="30">
        <v>167.86</v>
      </c>
      <c r="L104" s="31" t="s">
        <v>372</v>
      </c>
      <c r="M104" s="30">
        <f t="shared" si="8"/>
        <v>455.85</v>
      </c>
      <c r="N104" s="50">
        <v>20</v>
      </c>
      <c r="O104" s="117"/>
      <c r="P104" s="117"/>
      <c r="Q104" s="117">
        <f t="shared" si="6"/>
        <v>455.85</v>
      </c>
      <c r="R104" s="30">
        <f t="shared" si="10"/>
        <v>379.87500000000006</v>
      </c>
      <c r="S104" s="83"/>
      <c r="T104" s="83"/>
      <c r="U104" s="83"/>
      <c r="V104" s="32" t="s">
        <v>64</v>
      </c>
      <c r="W104" s="33">
        <v>56</v>
      </c>
      <c r="X104" s="30"/>
      <c r="Y104" s="34">
        <f t="shared" si="7"/>
        <v>0</v>
      </c>
      <c r="AA104" s="9"/>
      <c r="AB104" s="35">
        <v>30049079</v>
      </c>
      <c r="AC104" s="35">
        <v>5</v>
      </c>
    </row>
    <row r="105" spans="1:29" x14ac:dyDescent="0.25">
      <c r="A105" s="26" t="s">
        <v>26</v>
      </c>
      <c r="B105" s="27" t="s">
        <v>373</v>
      </c>
      <c r="C105" s="27"/>
      <c r="D105" s="27" t="s">
        <v>374</v>
      </c>
      <c r="E105" s="27" t="s">
        <v>375</v>
      </c>
      <c r="F105" s="28">
        <v>1</v>
      </c>
      <c r="G105" s="28">
        <v>120</v>
      </c>
      <c r="H105" s="28">
        <f t="shared" si="9"/>
        <v>120</v>
      </c>
      <c r="I105" s="29" t="s">
        <v>376</v>
      </c>
      <c r="J105" s="30">
        <v>94.5</v>
      </c>
      <c r="K105" s="30">
        <v>152.55000000000001</v>
      </c>
      <c r="L105" s="31" t="s">
        <v>376</v>
      </c>
      <c r="M105" s="30">
        <f t="shared" si="8"/>
        <v>94.5</v>
      </c>
      <c r="N105" s="50">
        <v>105</v>
      </c>
      <c r="O105" s="117"/>
      <c r="P105" s="117"/>
      <c r="Q105" s="117">
        <f t="shared" si="6"/>
        <v>94.5</v>
      </c>
      <c r="R105" s="30">
        <f t="shared" si="10"/>
        <v>46.09756097560976</v>
      </c>
      <c r="S105" s="83"/>
      <c r="T105" s="83"/>
      <c r="U105" s="83"/>
      <c r="V105" s="32" t="s">
        <v>64</v>
      </c>
      <c r="W105" s="33">
        <v>200</v>
      </c>
      <c r="X105" s="30"/>
      <c r="Y105" s="34">
        <f t="shared" si="7"/>
        <v>0</v>
      </c>
      <c r="AA105" s="9"/>
      <c r="AB105" s="35">
        <v>30049042</v>
      </c>
      <c r="AC105" s="35">
        <v>5</v>
      </c>
    </row>
    <row r="106" spans="1:29" x14ac:dyDescent="0.25">
      <c r="A106" s="26" t="s">
        <v>26</v>
      </c>
      <c r="B106" s="27" t="s">
        <v>377</v>
      </c>
      <c r="C106" s="27"/>
      <c r="D106" s="27" t="s">
        <v>378</v>
      </c>
      <c r="E106" s="27" t="s">
        <v>375</v>
      </c>
      <c r="F106" s="28">
        <v>1</v>
      </c>
      <c r="G106" s="28">
        <v>120</v>
      </c>
      <c r="H106" s="28">
        <f t="shared" si="9"/>
        <v>120</v>
      </c>
      <c r="I106" s="29" t="s">
        <v>376</v>
      </c>
      <c r="J106" s="30">
        <v>96.6</v>
      </c>
      <c r="K106" s="30">
        <v>114.09</v>
      </c>
      <c r="L106" s="31" t="s">
        <v>376</v>
      </c>
      <c r="M106" s="30">
        <f t="shared" si="8"/>
        <v>96.6</v>
      </c>
      <c r="N106" s="50">
        <v>105</v>
      </c>
      <c r="O106" s="117"/>
      <c r="P106" s="117"/>
      <c r="Q106" s="117">
        <f t="shared" si="6"/>
        <v>96.6</v>
      </c>
      <c r="R106" s="30">
        <f t="shared" si="10"/>
        <v>47.121951219512198</v>
      </c>
      <c r="S106" s="83"/>
      <c r="T106" s="83"/>
      <c r="U106" s="83"/>
      <c r="V106" s="32" t="s">
        <v>64</v>
      </c>
      <c r="W106" s="33">
        <v>200</v>
      </c>
      <c r="X106" s="30"/>
      <c r="Y106" s="34">
        <f t="shared" si="7"/>
        <v>0</v>
      </c>
      <c r="AA106" s="9"/>
      <c r="AB106" s="35">
        <v>30049042</v>
      </c>
      <c r="AC106" s="35">
        <v>5</v>
      </c>
    </row>
    <row r="107" spans="1:29" x14ac:dyDescent="0.25">
      <c r="A107" s="26" t="s">
        <v>26</v>
      </c>
      <c r="B107" s="27" t="s">
        <v>379</v>
      </c>
      <c r="C107" s="27"/>
      <c r="D107" s="27" t="s">
        <v>380</v>
      </c>
      <c r="E107" s="27" t="s">
        <v>375</v>
      </c>
      <c r="F107" s="28">
        <v>1</v>
      </c>
      <c r="G107" s="28">
        <v>120</v>
      </c>
      <c r="H107" s="28">
        <f t="shared" si="9"/>
        <v>120</v>
      </c>
      <c r="I107" s="29" t="s">
        <v>376</v>
      </c>
      <c r="J107" s="30">
        <v>101.82</v>
      </c>
      <c r="K107" s="30">
        <v>151.27000000000001</v>
      </c>
      <c r="L107" s="31" t="s">
        <v>376</v>
      </c>
      <c r="M107" s="30">
        <f t="shared" si="8"/>
        <v>101.82</v>
      </c>
      <c r="N107" s="50">
        <v>105</v>
      </c>
      <c r="O107" s="117"/>
      <c r="P107" s="117"/>
      <c r="Q107" s="117">
        <f t="shared" si="6"/>
        <v>101.82</v>
      </c>
      <c r="R107" s="30">
        <f t="shared" si="10"/>
        <v>49.668292682926833</v>
      </c>
      <c r="S107" s="83"/>
      <c r="T107" s="83"/>
      <c r="U107" s="83"/>
      <c r="V107" s="32" t="s">
        <v>64</v>
      </c>
      <c r="W107" s="33">
        <v>200</v>
      </c>
      <c r="X107" s="30"/>
      <c r="Y107" s="34">
        <f t="shared" si="7"/>
        <v>0</v>
      </c>
      <c r="AA107" s="9"/>
      <c r="AB107" s="35">
        <v>30049042</v>
      </c>
      <c r="AC107" s="35">
        <v>5</v>
      </c>
    </row>
    <row r="108" spans="1:29" x14ac:dyDescent="0.25">
      <c r="A108" s="26" t="s">
        <v>26</v>
      </c>
      <c r="B108" s="27" t="s">
        <v>381</v>
      </c>
      <c r="C108" s="27"/>
      <c r="D108" s="27" t="s">
        <v>382</v>
      </c>
      <c r="E108" s="27" t="s">
        <v>375</v>
      </c>
      <c r="F108" s="28">
        <v>1</v>
      </c>
      <c r="G108" s="28">
        <v>120</v>
      </c>
      <c r="H108" s="28">
        <f t="shared" si="9"/>
        <v>120</v>
      </c>
      <c r="I108" s="29" t="s">
        <v>376</v>
      </c>
      <c r="J108" s="30">
        <v>104.28</v>
      </c>
      <c r="K108" s="30">
        <v>138.44999999999999</v>
      </c>
      <c r="L108" s="31" t="s">
        <v>376</v>
      </c>
      <c r="M108" s="30">
        <f t="shared" si="8"/>
        <v>104.28</v>
      </c>
      <c r="N108" s="50">
        <v>105</v>
      </c>
      <c r="O108" s="117"/>
      <c r="P108" s="117"/>
      <c r="Q108" s="117">
        <f t="shared" si="6"/>
        <v>104.28</v>
      </c>
      <c r="R108" s="30">
        <f t="shared" si="10"/>
        <v>50.868292682926835</v>
      </c>
      <c r="S108" s="83"/>
      <c r="T108" s="83"/>
      <c r="U108" s="83"/>
      <c r="V108" s="32" t="s">
        <v>64</v>
      </c>
      <c r="W108" s="33">
        <v>200</v>
      </c>
      <c r="X108" s="30"/>
      <c r="Y108" s="34">
        <f t="shared" si="7"/>
        <v>0</v>
      </c>
      <c r="AA108" s="9"/>
      <c r="AB108" s="35">
        <v>30049042</v>
      </c>
      <c r="AC108" s="35">
        <v>5</v>
      </c>
    </row>
    <row r="109" spans="1:29" x14ac:dyDescent="0.25">
      <c r="A109" s="26" t="s">
        <v>26</v>
      </c>
      <c r="B109" s="27" t="s">
        <v>383</v>
      </c>
      <c r="C109" s="27"/>
      <c r="D109" s="27" t="s">
        <v>384</v>
      </c>
      <c r="E109" s="27" t="s">
        <v>385</v>
      </c>
      <c r="F109" s="28">
        <v>10</v>
      </c>
      <c r="G109" s="28">
        <v>15</v>
      </c>
      <c r="H109" s="28">
        <f t="shared" si="9"/>
        <v>150</v>
      </c>
      <c r="I109" s="29" t="s">
        <v>112</v>
      </c>
      <c r="J109" s="36">
        <v>78.75</v>
      </c>
      <c r="K109" s="30">
        <v>295.85000000000002</v>
      </c>
      <c r="L109" s="31" t="s">
        <v>386</v>
      </c>
      <c r="M109" s="30">
        <f t="shared" si="8"/>
        <v>787.5</v>
      </c>
      <c r="N109" s="36">
        <v>17.5</v>
      </c>
      <c r="O109" s="99"/>
      <c r="P109" s="99"/>
      <c r="Q109" s="117">
        <f t="shared" si="6"/>
        <v>787.5</v>
      </c>
      <c r="R109" s="30">
        <f t="shared" si="10"/>
        <v>670.21276595744678</v>
      </c>
      <c r="S109" s="83">
        <v>703.8</v>
      </c>
      <c r="T109" s="83">
        <v>774.18</v>
      </c>
      <c r="U109" s="83">
        <v>809.37</v>
      </c>
      <c r="V109" s="32"/>
      <c r="W109" s="33">
        <v>70</v>
      </c>
      <c r="X109" s="30"/>
      <c r="Y109" s="34">
        <f t="shared" si="7"/>
        <v>0</v>
      </c>
      <c r="AA109" s="9" t="s">
        <v>75</v>
      </c>
      <c r="AB109" s="35">
        <v>30049036</v>
      </c>
      <c r="AC109" s="35">
        <v>5.0000000000000009</v>
      </c>
    </row>
    <row r="110" spans="1:29" x14ac:dyDescent="0.25">
      <c r="A110" s="26" t="s">
        <v>26</v>
      </c>
      <c r="B110" s="27" t="s">
        <v>387</v>
      </c>
      <c r="C110" s="27"/>
      <c r="D110" s="27" t="s">
        <v>388</v>
      </c>
      <c r="E110" s="27" t="s">
        <v>389</v>
      </c>
      <c r="F110" s="28">
        <v>10</v>
      </c>
      <c r="G110" s="28">
        <v>15</v>
      </c>
      <c r="H110" s="28">
        <f t="shared" si="9"/>
        <v>150</v>
      </c>
      <c r="I110" s="29" t="s">
        <v>112</v>
      </c>
      <c r="J110" s="30">
        <v>147</v>
      </c>
      <c r="K110" s="30">
        <v>514.75</v>
      </c>
      <c r="L110" s="31" t="s">
        <v>386</v>
      </c>
      <c r="M110" s="30">
        <f t="shared" si="8"/>
        <v>1470</v>
      </c>
      <c r="N110" s="36">
        <v>22.5</v>
      </c>
      <c r="O110" s="99"/>
      <c r="P110" s="99"/>
      <c r="Q110" s="117">
        <f t="shared" si="6"/>
        <v>1470</v>
      </c>
      <c r="R110" s="30">
        <f t="shared" si="10"/>
        <v>1200</v>
      </c>
      <c r="S110" s="83">
        <v>1081.17</v>
      </c>
      <c r="T110" s="83">
        <v>1189</v>
      </c>
      <c r="U110" s="83">
        <v>1243.3399999999999</v>
      </c>
      <c r="V110" s="32"/>
      <c r="W110" s="33">
        <v>60</v>
      </c>
      <c r="X110" s="30"/>
      <c r="Y110" s="34">
        <f t="shared" si="7"/>
        <v>0</v>
      </c>
      <c r="AA110" s="9" t="s">
        <v>75</v>
      </c>
      <c r="AB110" s="35">
        <v>30049036</v>
      </c>
      <c r="AC110" s="35">
        <v>5</v>
      </c>
    </row>
    <row r="111" spans="1:29" ht="45" x14ac:dyDescent="0.25">
      <c r="A111" s="26" t="s">
        <v>26</v>
      </c>
      <c r="B111" s="27" t="s">
        <v>390</v>
      </c>
      <c r="C111" s="27"/>
      <c r="D111" s="27" t="s">
        <v>391</v>
      </c>
      <c r="E111" s="44" t="s">
        <v>392</v>
      </c>
      <c r="F111" s="28">
        <v>1</v>
      </c>
      <c r="G111" s="28">
        <v>1</v>
      </c>
      <c r="H111" s="28">
        <f>G111*F111</f>
        <v>1</v>
      </c>
      <c r="I111" s="29" t="s">
        <v>55</v>
      </c>
      <c r="J111" s="36">
        <v>15.75</v>
      </c>
      <c r="K111" s="30">
        <v>132.33000000000001</v>
      </c>
      <c r="L111" s="31" t="s">
        <v>55</v>
      </c>
      <c r="M111" s="30">
        <f t="shared" si="8"/>
        <v>15.75</v>
      </c>
      <c r="N111" s="50">
        <v>0</v>
      </c>
      <c r="O111" s="117"/>
      <c r="P111" s="117"/>
      <c r="Q111" s="117">
        <f t="shared" si="6"/>
        <v>15.75</v>
      </c>
      <c r="R111" s="30">
        <f t="shared" si="10"/>
        <v>15.75</v>
      </c>
      <c r="S111" s="83">
        <v>16.53</v>
      </c>
      <c r="T111" s="83">
        <v>18.18</v>
      </c>
      <c r="U111" s="83">
        <v>19</v>
      </c>
      <c r="V111" s="32"/>
      <c r="W111" s="33">
        <v>400</v>
      </c>
      <c r="X111" s="30"/>
      <c r="Y111" s="34">
        <f t="shared" si="7"/>
        <v>0</v>
      </c>
      <c r="AA111" s="9"/>
      <c r="AB111" s="35">
        <v>30049099</v>
      </c>
      <c r="AC111" s="35">
        <v>5</v>
      </c>
    </row>
    <row r="112" spans="1:29" x14ac:dyDescent="0.25">
      <c r="A112" s="26"/>
      <c r="B112" s="53" t="s">
        <v>393</v>
      </c>
      <c r="C112" s="53"/>
      <c r="D112" s="27"/>
      <c r="E112" s="54"/>
      <c r="F112" s="54"/>
      <c r="G112" s="54"/>
      <c r="H112" s="28"/>
      <c r="I112" s="54"/>
      <c r="J112" s="30">
        <v>0</v>
      </c>
      <c r="K112" s="30">
        <v>0</v>
      </c>
      <c r="L112" s="31"/>
      <c r="M112" s="30"/>
      <c r="N112" s="50">
        <v>0</v>
      </c>
      <c r="O112" s="117"/>
      <c r="P112" s="117"/>
      <c r="Q112" s="117">
        <f t="shared" si="6"/>
        <v>0</v>
      </c>
      <c r="R112" s="30"/>
      <c r="S112" s="83"/>
      <c r="T112" s="83"/>
      <c r="U112" s="83"/>
      <c r="V112" s="32"/>
      <c r="W112" s="33">
        <v>0</v>
      </c>
      <c r="X112" s="30"/>
      <c r="Y112" s="34">
        <f t="shared" si="7"/>
        <v>0</v>
      </c>
      <c r="AA112" s="9"/>
      <c r="AB112" s="35"/>
      <c r="AC112" s="35"/>
    </row>
    <row r="113" spans="1:29" x14ac:dyDescent="0.25">
      <c r="A113" s="37" t="s">
        <v>394</v>
      </c>
      <c r="B113" s="38" t="s">
        <v>395</v>
      </c>
      <c r="C113" s="38"/>
      <c r="D113" s="38" t="s">
        <v>396</v>
      </c>
      <c r="E113" s="38" t="s">
        <v>397</v>
      </c>
      <c r="F113" s="33">
        <v>30</v>
      </c>
      <c r="G113" s="33">
        <v>10</v>
      </c>
      <c r="H113" s="33">
        <f t="shared" si="9"/>
        <v>300</v>
      </c>
      <c r="I113" s="31" t="s">
        <v>46</v>
      </c>
      <c r="J113" s="30">
        <v>8.33</v>
      </c>
      <c r="K113" s="30">
        <v>65.48</v>
      </c>
      <c r="L113" s="31" t="s">
        <v>47</v>
      </c>
      <c r="M113" s="30">
        <f t="shared" ref="M113:M176" si="11">J113*F113</f>
        <v>249.9</v>
      </c>
      <c r="N113" s="36">
        <v>30</v>
      </c>
      <c r="O113" s="99"/>
      <c r="P113" s="99"/>
      <c r="Q113" s="117">
        <f t="shared" si="6"/>
        <v>249.9</v>
      </c>
      <c r="R113" s="30">
        <f t="shared" ref="R113:R144" si="12">M113/(1+N113%)</f>
        <v>192.23076923076923</v>
      </c>
      <c r="S113" s="83">
        <v>194.1</v>
      </c>
      <c r="T113" s="83">
        <v>213.51</v>
      </c>
      <c r="U113" s="83">
        <v>223.215</v>
      </c>
      <c r="V113" s="32"/>
      <c r="W113" s="33">
        <v>50</v>
      </c>
      <c r="X113" s="30"/>
      <c r="Y113" s="34">
        <f t="shared" si="7"/>
        <v>0</v>
      </c>
      <c r="Z113" s="55"/>
      <c r="AA113" s="9"/>
      <c r="AB113" s="56">
        <v>30049061</v>
      </c>
      <c r="AC113" s="56">
        <v>5</v>
      </c>
    </row>
    <row r="114" spans="1:29" x14ac:dyDescent="0.25">
      <c r="A114" s="37" t="s">
        <v>394</v>
      </c>
      <c r="B114" s="38" t="s">
        <v>398</v>
      </c>
      <c r="C114" s="38"/>
      <c r="D114" s="38" t="s">
        <v>399</v>
      </c>
      <c r="E114" s="38" t="s">
        <v>400</v>
      </c>
      <c r="F114" s="33">
        <v>20</v>
      </c>
      <c r="G114" s="33">
        <v>10</v>
      </c>
      <c r="H114" s="33">
        <f t="shared" si="9"/>
        <v>200</v>
      </c>
      <c r="I114" s="31" t="s">
        <v>46</v>
      </c>
      <c r="J114" s="30">
        <v>6.48</v>
      </c>
      <c r="K114" s="30">
        <v>36.75</v>
      </c>
      <c r="L114" s="31" t="s">
        <v>131</v>
      </c>
      <c r="M114" s="30">
        <f t="shared" si="11"/>
        <v>129.60000000000002</v>
      </c>
      <c r="N114" s="50">
        <v>25</v>
      </c>
      <c r="O114" s="117"/>
      <c r="P114" s="117"/>
      <c r="Q114" s="117">
        <f t="shared" si="6"/>
        <v>129.60000000000002</v>
      </c>
      <c r="R114" s="30">
        <f t="shared" si="12"/>
        <v>103.68000000000002</v>
      </c>
      <c r="S114" s="83"/>
      <c r="T114" s="83"/>
      <c r="U114" s="83"/>
      <c r="V114" s="32" t="s">
        <v>64</v>
      </c>
      <c r="W114" s="33">
        <v>64</v>
      </c>
      <c r="X114" s="30"/>
      <c r="Y114" s="34">
        <f t="shared" si="7"/>
        <v>0</v>
      </c>
      <c r="Z114" s="55"/>
      <c r="AA114" s="9"/>
      <c r="AB114" s="56">
        <v>30049039</v>
      </c>
      <c r="AC114" s="56">
        <v>5</v>
      </c>
    </row>
    <row r="115" spans="1:29" x14ac:dyDescent="0.25">
      <c r="A115" s="37" t="s">
        <v>394</v>
      </c>
      <c r="B115" s="38" t="s">
        <v>401</v>
      </c>
      <c r="C115" s="38"/>
      <c r="D115" s="38" t="s">
        <v>402</v>
      </c>
      <c r="E115" s="38" t="s">
        <v>403</v>
      </c>
      <c r="F115" s="33">
        <v>20</v>
      </c>
      <c r="G115" s="33">
        <v>10</v>
      </c>
      <c r="H115" s="33">
        <f t="shared" si="9"/>
        <v>200</v>
      </c>
      <c r="I115" s="31" t="s">
        <v>46</v>
      </c>
      <c r="J115" s="30">
        <v>14.059999999999999</v>
      </c>
      <c r="K115" s="30">
        <v>115.08</v>
      </c>
      <c r="L115" s="31" t="s">
        <v>131</v>
      </c>
      <c r="M115" s="30">
        <f t="shared" si="11"/>
        <v>281.2</v>
      </c>
      <c r="N115" s="50">
        <v>20</v>
      </c>
      <c r="O115" s="117"/>
      <c r="P115" s="117"/>
      <c r="Q115" s="117">
        <f t="shared" si="6"/>
        <v>281.2</v>
      </c>
      <c r="R115" s="30">
        <f t="shared" si="12"/>
        <v>234.33333333333334</v>
      </c>
      <c r="S115" s="83">
        <v>246</v>
      </c>
      <c r="T115" s="83">
        <v>270.60000000000002</v>
      </c>
      <c r="U115" s="83">
        <v>283</v>
      </c>
      <c r="V115" s="32"/>
      <c r="W115" s="33">
        <v>40</v>
      </c>
      <c r="X115" s="30"/>
      <c r="Y115" s="34">
        <f t="shared" si="7"/>
        <v>0</v>
      </c>
      <c r="Z115" s="55"/>
      <c r="AA115" s="9"/>
      <c r="AB115" s="56">
        <v>30049069</v>
      </c>
      <c r="AC115" s="56">
        <v>5.0000000000000009</v>
      </c>
    </row>
    <row r="116" spans="1:29" x14ac:dyDescent="0.25">
      <c r="A116" s="37" t="s">
        <v>394</v>
      </c>
      <c r="B116" s="38" t="s">
        <v>404</v>
      </c>
      <c r="C116" s="38"/>
      <c r="D116" s="38" t="s">
        <v>405</v>
      </c>
      <c r="E116" s="38" t="s">
        <v>406</v>
      </c>
      <c r="F116" s="33">
        <v>20</v>
      </c>
      <c r="G116" s="33">
        <v>10</v>
      </c>
      <c r="H116" s="33">
        <f t="shared" si="9"/>
        <v>200</v>
      </c>
      <c r="I116" s="31" t="s">
        <v>46</v>
      </c>
      <c r="J116" s="30">
        <v>17.090000000000003</v>
      </c>
      <c r="K116" s="30">
        <v>111.05</v>
      </c>
      <c r="L116" s="31" t="s">
        <v>131</v>
      </c>
      <c r="M116" s="30">
        <f t="shared" si="11"/>
        <v>341.80000000000007</v>
      </c>
      <c r="N116" s="50">
        <v>20</v>
      </c>
      <c r="O116" s="117"/>
      <c r="P116" s="117"/>
      <c r="Q116" s="117">
        <f t="shared" si="6"/>
        <v>341.80000000000007</v>
      </c>
      <c r="R116" s="30">
        <f t="shared" si="12"/>
        <v>284.83333333333343</v>
      </c>
      <c r="S116" s="83"/>
      <c r="T116" s="83"/>
      <c r="U116" s="83"/>
      <c r="V116" s="32" t="s">
        <v>64</v>
      </c>
      <c r="W116" s="33">
        <v>54</v>
      </c>
      <c r="X116" s="30"/>
      <c r="Y116" s="34">
        <f t="shared" si="7"/>
        <v>0</v>
      </c>
      <c r="Z116" s="55"/>
      <c r="AA116" s="9"/>
      <c r="AB116" s="56">
        <v>30049069</v>
      </c>
      <c r="AC116" s="56">
        <v>5</v>
      </c>
    </row>
    <row r="117" spans="1:29" x14ac:dyDescent="0.25">
      <c r="A117" s="37" t="s">
        <v>394</v>
      </c>
      <c r="B117" s="38" t="s">
        <v>407</v>
      </c>
      <c r="C117" s="38"/>
      <c r="D117" s="38" t="s">
        <v>408</v>
      </c>
      <c r="E117" s="38" t="s">
        <v>409</v>
      </c>
      <c r="F117" s="33">
        <v>1</v>
      </c>
      <c r="G117" s="33">
        <v>1</v>
      </c>
      <c r="H117" s="33">
        <f t="shared" si="9"/>
        <v>1</v>
      </c>
      <c r="I117" s="31" t="s">
        <v>315</v>
      </c>
      <c r="J117" s="30">
        <v>18.52</v>
      </c>
      <c r="K117" s="30">
        <v>95.06</v>
      </c>
      <c r="L117" s="31" t="s">
        <v>410</v>
      </c>
      <c r="M117" s="30">
        <f t="shared" si="11"/>
        <v>18.52</v>
      </c>
      <c r="N117" s="50">
        <v>0</v>
      </c>
      <c r="O117" s="117"/>
      <c r="P117" s="117"/>
      <c r="Q117" s="117">
        <f t="shared" si="6"/>
        <v>18.52</v>
      </c>
      <c r="R117" s="30">
        <f t="shared" si="12"/>
        <v>18.52</v>
      </c>
      <c r="S117" s="83"/>
      <c r="T117" s="83"/>
      <c r="U117" s="83"/>
      <c r="V117" s="32" t="s">
        <v>64</v>
      </c>
      <c r="W117" s="33">
        <v>120</v>
      </c>
      <c r="X117" s="30"/>
      <c r="Y117" s="34">
        <f t="shared" si="7"/>
        <v>0</v>
      </c>
      <c r="Z117" s="55"/>
      <c r="AA117" s="9"/>
      <c r="AB117" s="56">
        <v>30049029</v>
      </c>
      <c r="AC117" s="56">
        <v>5</v>
      </c>
    </row>
    <row r="118" spans="1:29" x14ac:dyDescent="0.25">
      <c r="A118" s="37" t="s">
        <v>394</v>
      </c>
      <c r="B118" s="38" t="s">
        <v>411</v>
      </c>
      <c r="C118" s="38"/>
      <c r="D118" s="38" t="s">
        <v>412</v>
      </c>
      <c r="E118" s="38" t="s">
        <v>413</v>
      </c>
      <c r="F118" s="33">
        <v>50</v>
      </c>
      <c r="G118" s="33">
        <v>15</v>
      </c>
      <c r="H118" s="33">
        <f t="shared" si="9"/>
        <v>750</v>
      </c>
      <c r="I118" s="31" t="s">
        <v>112</v>
      </c>
      <c r="J118" s="30">
        <v>4.0999999999999996</v>
      </c>
      <c r="K118" s="30">
        <v>22.27</v>
      </c>
      <c r="L118" s="31" t="s">
        <v>414</v>
      </c>
      <c r="M118" s="30">
        <f t="shared" si="11"/>
        <v>204.99999999999997</v>
      </c>
      <c r="N118" s="50">
        <v>0</v>
      </c>
      <c r="O118" s="117"/>
      <c r="P118" s="117"/>
      <c r="Q118" s="117">
        <f t="shared" si="6"/>
        <v>204.99999999999997</v>
      </c>
      <c r="R118" s="30">
        <f t="shared" si="12"/>
        <v>204.99999999999997</v>
      </c>
      <c r="S118" s="83"/>
      <c r="T118" s="83"/>
      <c r="U118" s="83"/>
      <c r="V118" s="32" t="s">
        <v>64</v>
      </c>
      <c r="W118" s="33">
        <v>72</v>
      </c>
      <c r="X118" s="30"/>
      <c r="Y118" s="34">
        <f t="shared" si="7"/>
        <v>0</v>
      </c>
      <c r="Z118" s="55"/>
      <c r="AA118" s="9"/>
      <c r="AB118" s="56">
        <v>30049099</v>
      </c>
      <c r="AC118" s="56">
        <v>5</v>
      </c>
    </row>
    <row r="119" spans="1:29" x14ac:dyDescent="0.25">
      <c r="A119" s="37" t="s">
        <v>394</v>
      </c>
      <c r="B119" s="38" t="s">
        <v>415</v>
      </c>
      <c r="C119" s="38"/>
      <c r="D119" s="38" t="s">
        <v>416</v>
      </c>
      <c r="E119" s="38" t="s">
        <v>417</v>
      </c>
      <c r="F119" s="33">
        <v>50</v>
      </c>
      <c r="G119" s="33">
        <v>15</v>
      </c>
      <c r="H119" s="33">
        <f t="shared" si="9"/>
        <v>750</v>
      </c>
      <c r="I119" s="31" t="s">
        <v>112</v>
      </c>
      <c r="J119" s="36">
        <v>5.35</v>
      </c>
      <c r="K119" s="30">
        <v>47.11</v>
      </c>
      <c r="L119" s="31" t="s">
        <v>414</v>
      </c>
      <c r="M119" s="30">
        <f t="shared" si="11"/>
        <v>267.5</v>
      </c>
      <c r="N119" s="50">
        <v>0</v>
      </c>
      <c r="O119" s="117"/>
      <c r="P119" s="117"/>
      <c r="Q119" s="117">
        <f t="shared" si="6"/>
        <v>267.5</v>
      </c>
      <c r="R119" s="30">
        <f t="shared" si="12"/>
        <v>267.5</v>
      </c>
      <c r="S119" s="83"/>
      <c r="T119" s="83"/>
      <c r="U119" s="83"/>
      <c r="V119" s="32" t="s">
        <v>64</v>
      </c>
      <c r="W119" s="33">
        <v>72</v>
      </c>
      <c r="X119" s="30"/>
      <c r="Y119" s="34">
        <f t="shared" si="7"/>
        <v>0</v>
      </c>
      <c r="Z119" s="55"/>
      <c r="AA119" s="9"/>
      <c r="AB119" s="56">
        <v>30049099</v>
      </c>
      <c r="AC119" s="56">
        <v>5</v>
      </c>
    </row>
    <row r="120" spans="1:29" x14ac:dyDescent="0.25">
      <c r="A120" s="37" t="s">
        <v>394</v>
      </c>
      <c r="B120" s="38" t="s">
        <v>418</v>
      </c>
      <c r="C120" s="38"/>
      <c r="D120" s="38" t="s">
        <v>419</v>
      </c>
      <c r="E120" s="38" t="s">
        <v>420</v>
      </c>
      <c r="F120" s="33">
        <v>30</v>
      </c>
      <c r="G120" s="33">
        <v>10</v>
      </c>
      <c r="H120" s="33">
        <f>G120*F120</f>
        <v>300</v>
      </c>
      <c r="I120" s="31" t="s">
        <v>46</v>
      </c>
      <c r="J120" s="30">
        <v>11.4</v>
      </c>
      <c r="K120" s="30">
        <v>53.09</v>
      </c>
      <c r="L120" s="31" t="s">
        <v>47</v>
      </c>
      <c r="M120" s="30">
        <f t="shared" si="11"/>
        <v>342</v>
      </c>
      <c r="N120" s="50">
        <v>45</v>
      </c>
      <c r="O120" s="117"/>
      <c r="P120" s="117"/>
      <c r="Q120" s="117">
        <f t="shared" si="6"/>
        <v>342</v>
      </c>
      <c r="R120" s="30">
        <f t="shared" si="12"/>
        <v>235.86206896551724</v>
      </c>
      <c r="S120" s="83"/>
      <c r="T120" s="83"/>
      <c r="U120" s="83"/>
      <c r="V120" s="32" t="s">
        <v>64</v>
      </c>
      <c r="W120" s="33">
        <v>32</v>
      </c>
      <c r="X120" s="30"/>
      <c r="Y120" s="34">
        <f t="shared" si="7"/>
        <v>0</v>
      </c>
      <c r="Z120" s="55"/>
      <c r="AA120" s="9"/>
      <c r="AB120" s="56">
        <v>30049072</v>
      </c>
      <c r="AC120" s="56">
        <v>5.0000000000000009</v>
      </c>
    </row>
    <row r="121" spans="1:29" x14ac:dyDescent="0.25">
      <c r="A121" s="37" t="s">
        <v>394</v>
      </c>
      <c r="B121" s="38" t="s">
        <v>421</v>
      </c>
      <c r="C121" s="38"/>
      <c r="D121" s="38" t="s">
        <v>422</v>
      </c>
      <c r="E121" s="38" t="s">
        <v>423</v>
      </c>
      <c r="F121" s="33">
        <v>30</v>
      </c>
      <c r="G121" s="33">
        <v>10</v>
      </c>
      <c r="H121" s="33">
        <f>G121*F121</f>
        <v>300</v>
      </c>
      <c r="I121" s="31" t="s">
        <v>46</v>
      </c>
      <c r="J121" s="30">
        <v>17.37</v>
      </c>
      <c r="K121" s="36">
        <v>132.736639728</v>
      </c>
      <c r="L121" s="31" t="s">
        <v>47</v>
      </c>
      <c r="M121" s="30">
        <f t="shared" si="11"/>
        <v>521.1</v>
      </c>
      <c r="N121" s="50">
        <v>40</v>
      </c>
      <c r="O121" s="117"/>
      <c r="P121" s="117"/>
      <c r="Q121" s="117">
        <f t="shared" si="6"/>
        <v>521.1</v>
      </c>
      <c r="R121" s="30">
        <f t="shared" si="12"/>
        <v>372.21428571428578</v>
      </c>
      <c r="S121" s="83"/>
      <c r="T121" s="83"/>
      <c r="U121" s="83"/>
      <c r="V121" s="32" t="s">
        <v>64</v>
      </c>
      <c r="W121" s="33">
        <v>36</v>
      </c>
      <c r="X121" s="30"/>
      <c r="Y121" s="34">
        <f t="shared" si="7"/>
        <v>0</v>
      </c>
      <c r="Z121" s="55"/>
      <c r="AA121" s="9"/>
      <c r="AB121" s="56">
        <v>30049072</v>
      </c>
      <c r="AC121" s="56">
        <v>5</v>
      </c>
    </row>
    <row r="122" spans="1:29" x14ac:dyDescent="0.25">
      <c r="A122" s="37" t="s">
        <v>394</v>
      </c>
      <c r="B122" s="38" t="s">
        <v>424</v>
      </c>
      <c r="C122" s="38"/>
      <c r="D122" s="38" t="s">
        <v>425</v>
      </c>
      <c r="E122" s="38" t="s">
        <v>426</v>
      </c>
      <c r="F122" s="33">
        <v>20</v>
      </c>
      <c r="G122" s="33">
        <v>10</v>
      </c>
      <c r="H122" s="33">
        <f>G122*F122</f>
        <v>200</v>
      </c>
      <c r="I122" s="31" t="s">
        <v>46</v>
      </c>
      <c r="J122" s="30">
        <v>22</v>
      </c>
      <c r="K122" s="30">
        <v>206.08</v>
      </c>
      <c r="L122" s="31"/>
      <c r="M122" s="30">
        <f t="shared" si="11"/>
        <v>440</v>
      </c>
      <c r="N122" s="50">
        <v>40</v>
      </c>
      <c r="O122" s="117"/>
      <c r="P122" s="117"/>
      <c r="Q122" s="117">
        <f t="shared" si="6"/>
        <v>440</v>
      </c>
      <c r="R122" s="30">
        <f t="shared" si="12"/>
        <v>314.28571428571428</v>
      </c>
      <c r="S122" s="83"/>
      <c r="T122" s="83"/>
      <c r="U122" s="83"/>
      <c r="V122" s="32" t="s">
        <v>64</v>
      </c>
      <c r="W122" s="33">
        <v>48</v>
      </c>
      <c r="X122" s="30"/>
      <c r="Y122" s="34">
        <f t="shared" si="7"/>
        <v>0</v>
      </c>
      <c r="Z122" s="55"/>
      <c r="AA122" s="9"/>
      <c r="AB122" s="56">
        <v>30049072</v>
      </c>
      <c r="AC122" s="56">
        <v>5</v>
      </c>
    </row>
    <row r="123" spans="1:29" x14ac:dyDescent="0.25">
      <c r="A123" s="37" t="s">
        <v>394</v>
      </c>
      <c r="B123" s="38" t="s">
        <v>427</v>
      </c>
      <c r="C123" s="38"/>
      <c r="D123" s="38" t="s">
        <v>428</v>
      </c>
      <c r="E123" s="38" t="s">
        <v>429</v>
      </c>
      <c r="F123" s="33">
        <v>10</v>
      </c>
      <c r="G123" s="33">
        <v>10</v>
      </c>
      <c r="H123" s="33">
        <f t="shared" si="9"/>
        <v>100</v>
      </c>
      <c r="I123" s="31" t="s">
        <v>46</v>
      </c>
      <c r="J123" s="30">
        <v>46.2</v>
      </c>
      <c r="K123" s="30">
        <v>134.53</v>
      </c>
      <c r="L123" s="31" t="s">
        <v>247</v>
      </c>
      <c r="M123" s="30">
        <f t="shared" si="11"/>
        <v>462</v>
      </c>
      <c r="N123" s="50">
        <v>45</v>
      </c>
      <c r="O123" s="117"/>
      <c r="P123" s="117"/>
      <c r="Q123" s="117">
        <f t="shared" si="6"/>
        <v>462</v>
      </c>
      <c r="R123" s="30">
        <f t="shared" si="12"/>
        <v>318.62068965517244</v>
      </c>
      <c r="S123" s="83"/>
      <c r="T123" s="83"/>
      <c r="U123" s="83"/>
      <c r="V123" s="32" t="s">
        <v>64</v>
      </c>
      <c r="W123" s="33">
        <v>72</v>
      </c>
      <c r="X123" s="30"/>
      <c r="Y123" s="34">
        <f t="shared" si="7"/>
        <v>0</v>
      </c>
      <c r="Z123" s="55"/>
      <c r="AA123" s="9"/>
      <c r="AB123" s="56">
        <v>30041090</v>
      </c>
      <c r="AC123" s="56">
        <v>5.0000000000000009</v>
      </c>
    </row>
    <row r="124" spans="1:29" x14ac:dyDescent="0.25">
      <c r="A124" s="37" t="s">
        <v>394</v>
      </c>
      <c r="B124" s="38" t="s">
        <v>430</v>
      </c>
      <c r="C124" s="38"/>
      <c r="D124" s="38" t="s">
        <v>431</v>
      </c>
      <c r="E124" s="38" t="s">
        <v>432</v>
      </c>
      <c r="F124" s="33">
        <v>10</v>
      </c>
      <c r="G124" s="33">
        <v>10</v>
      </c>
      <c r="H124" s="33">
        <f t="shared" si="9"/>
        <v>100</v>
      </c>
      <c r="I124" s="31" t="s">
        <v>46</v>
      </c>
      <c r="J124" s="30">
        <v>91.51</v>
      </c>
      <c r="K124" s="30">
        <v>205.69</v>
      </c>
      <c r="L124" s="31" t="s">
        <v>68</v>
      </c>
      <c r="M124" s="30">
        <f t="shared" si="11"/>
        <v>915.1</v>
      </c>
      <c r="N124" s="50">
        <v>82</v>
      </c>
      <c r="O124" s="117"/>
      <c r="P124" s="117"/>
      <c r="Q124" s="117">
        <f t="shared" si="6"/>
        <v>915.1</v>
      </c>
      <c r="R124" s="30">
        <f t="shared" si="12"/>
        <v>502.80219780219784</v>
      </c>
      <c r="S124" s="83"/>
      <c r="T124" s="83"/>
      <c r="U124" s="83"/>
      <c r="V124" s="32" t="s">
        <v>64</v>
      </c>
      <c r="W124" s="33">
        <v>54</v>
      </c>
      <c r="X124" s="30"/>
      <c r="Y124" s="34">
        <f t="shared" si="7"/>
        <v>0</v>
      </c>
      <c r="Z124" s="55"/>
      <c r="AA124" s="9"/>
      <c r="AB124" s="56">
        <v>30041090</v>
      </c>
      <c r="AC124" s="56">
        <v>5.0000000000000009</v>
      </c>
    </row>
    <row r="125" spans="1:29" x14ac:dyDescent="0.25">
      <c r="A125" s="37" t="s">
        <v>394</v>
      </c>
      <c r="B125" s="38" t="s">
        <v>433</v>
      </c>
      <c r="C125" s="38"/>
      <c r="D125" s="38" t="s">
        <v>434</v>
      </c>
      <c r="E125" s="38" t="s">
        <v>435</v>
      </c>
      <c r="F125" s="33">
        <v>10</v>
      </c>
      <c r="G125" s="33">
        <v>6</v>
      </c>
      <c r="H125" s="33">
        <f t="shared" si="9"/>
        <v>60</v>
      </c>
      <c r="I125" s="31" t="s">
        <v>227</v>
      </c>
      <c r="J125" s="36">
        <v>77.180000000000007</v>
      </c>
      <c r="K125" s="30">
        <v>223.88</v>
      </c>
      <c r="L125" s="31" t="s">
        <v>436</v>
      </c>
      <c r="M125" s="30">
        <f t="shared" si="11"/>
        <v>771.80000000000007</v>
      </c>
      <c r="N125" s="50">
        <v>25</v>
      </c>
      <c r="O125" s="117"/>
      <c r="P125" s="117"/>
      <c r="Q125" s="117">
        <f t="shared" si="6"/>
        <v>771.80000000000007</v>
      </c>
      <c r="R125" s="30">
        <f t="shared" si="12"/>
        <v>617.44000000000005</v>
      </c>
      <c r="S125" s="83"/>
      <c r="T125" s="83"/>
      <c r="U125" s="83"/>
      <c r="V125" s="32" t="s">
        <v>64</v>
      </c>
      <c r="W125" s="33">
        <v>36</v>
      </c>
      <c r="X125" s="30"/>
      <c r="Y125" s="34">
        <f t="shared" si="7"/>
        <v>0</v>
      </c>
      <c r="Z125" s="55"/>
      <c r="AA125" s="9"/>
      <c r="AB125" s="56">
        <v>30042019</v>
      </c>
      <c r="AC125" s="56">
        <v>5</v>
      </c>
    </row>
    <row r="126" spans="1:29" x14ac:dyDescent="0.25">
      <c r="A126" s="37" t="s">
        <v>394</v>
      </c>
      <c r="B126" s="38" t="s">
        <v>437</v>
      </c>
      <c r="C126" s="38"/>
      <c r="D126" s="38" t="s">
        <v>438</v>
      </c>
      <c r="E126" s="38" t="s">
        <v>439</v>
      </c>
      <c r="F126" s="33">
        <v>1</v>
      </c>
      <c r="G126" s="33">
        <v>1</v>
      </c>
      <c r="H126" s="33">
        <f t="shared" si="9"/>
        <v>1</v>
      </c>
      <c r="I126" s="31" t="s">
        <v>234</v>
      </c>
      <c r="J126" s="30">
        <v>47.25</v>
      </c>
      <c r="K126" s="30">
        <v>123.75</v>
      </c>
      <c r="L126" s="31" t="s">
        <v>234</v>
      </c>
      <c r="M126" s="30">
        <f t="shared" si="11"/>
        <v>47.25</v>
      </c>
      <c r="N126" s="50">
        <v>10</v>
      </c>
      <c r="O126" s="117"/>
      <c r="P126" s="117"/>
      <c r="Q126" s="117">
        <f t="shared" si="6"/>
        <v>47.25</v>
      </c>
      <c r="R126" s="30">
        <f t="shared" si="12"/>
        <v>42.954545454545453</v>
      </c>
      <c r="S126" s="83"/>
      <c r="T126" s="83"/>
      <c r="U126" s="83"/>
      <c r="V126" s="32" t="s">
        <v>64</v>
      </c>
      <c r="W126" s="33">
        <v>200</v>
      </c>
      <c r="X126" s="30"/>
      <c r="Y126" s="34">
        <f t="shared" si="7"/>
        <v>0</v>
      </c>
      <c r="Z126" s="55"/>
      <c r="AA126" s="9"/>
      <c r="AB126" s="56">
        <v>30041090</v>
      </c>
      <c r="AC126" s="56">
        <v>5</v>
      </c>
    </row>
    <row r="127" spans="1:29" x14ac:dyDescent="0.25">
      <c r="A127" s="37" t="s">
        <v>394</v>
      </c>
      <c r="B127" s="38" t="s">
        <v>440</v>
      </c>
      <c r="C127" s="38"/>
      <c r="D127" s="38" t="s">
        <v>441</v>
      </c>
      <c r="E127" s="38" t="s">
        <v>442</v>
      </c>
      <c r="F127" s="33">
        <v>10</v>
      </c>
      <c r="G127" s="33">
        <v>10</v>
      </c>
      <c r="H127" s="33">
        <f t="shared" si="9"/>
        <v>100</v>
      </c>
      <c r="I127" s="31" t="s">
        <v>46</v>
      </c>
      <c r="J127" s="30">
        <v>90.41</v>
      </c>
      <c r="K127" s="30">
        <v>310.97000000000003</v>
      </c>
      <c r="L127" s="31" t="s">
        <v>247</v>
      </c>
      <c r="M127" s="30">
        <f t="shared" si="11"/>
        <v>904.09999999999991</v>
      </c>
      <c r="N127" s="50">
        <v>25</v>
      </c>
      <c r="O127" s="117"/>
      <c r="P127" s="117"/>
      <c r="Q127" s="117">
        <f t="shared" si="6"/>
        <v>904.09999999999991</v>
      </c>
      <c r="R127" s="30">
        <f t="shared" si="12"/>
        <v>723.28</v>
      </c>
      <c r="S127" s="83"/>
      <c r="T127" s="83"/>
      <c r="U127" s="83"/>
      <c r="V127" s="32" t="s">
        <v>64</v>
      </c>
      <c r="W127" s="33">
        <v>54</v>
      </c>
      <c r="X127" s="30"/>
      <c r="Y127" s="34">
        <f t="shared" si="7"/>
        <v>0</v>
      </c>
      <c r="Z127" s="55"/>
      <c r="AA127" s="9"/>
      <c r="AB127" s="56">
        <v>30049099</v>
      </c>
      <c r="AC127" s="56">
        <v>5</v>
      </c>
    </row>
    <row r="128" spans="1:29" x14ac:dyDescent="0.25">
      <c r="A128" s="37" t="s">
        <v>394</v>
      </c>
      <c r="B128" s="38" t="s">
        <v>443</v>
      </c>
      <c r="C128" s="38"/>
      <c r="D128" s="38" t="s">
        <v>444</v>
      </c>
      <c r="E128" s="38" t="s">
        <v>445</v>
      </c>
      <c r="F128" s="33">
        <v>1</v>
      </c>
      <c r="G128" s="33">
        <v>1</v>
      </c>
      <c r="H128" s="33">
        <f t="shared" si="9"/>
        <v>1</v>
      </c>
      <c r="I128" s="31" t="s">
        <v>234</v>
      </c>
      <c r="J128" s="30">
        <v>27.28</v>
      </c>
      <c r="K128" s="30">
        <v>82.17</v>
      </c>
      <c r="L128" s="31" t="s">
        <v>234</v>
      </c>
      <c r="M128" s="30">
        <f t="shared" si="11"/>
        <v>27.28</v>
      </c>
      <c r="N128" s="50">
        <v>18</v>
      </c>
      <c r="O128" s="117"/>
      <c r="P128" s="117"/>
      <c r="Q128" s="117">
        <f t="shared" si="6"/>
        <v>27.28</v>
      </c>
      <c r="R128" s="30">
        <f t="shared" si="12"/>
        <v>23.118644067796613</v>
      </c>
      <c r="S128" s="83"/>
      <c r="T128" s="83"/>
      <c r="U128" s="83"/>
      <c r="V128" s="32" t="s">
        <v>64</v>
      </c>
      <c r="W128" s="33">
        <v>200</v>
      </c>
      <c r="X128" s="30"/>
      <c r="Y128" s="34">
        <f t="shared" si="7"/>
        <v>0</v>
      </c>
      <c r="Z128" s="55"/>
      <c r="AA128" s="9"/>
      <c r="AB128" s="56">
        <v>30041090</v>
      </c>
      <c r="AC128" s="56">
        <v>5</v>
      </c>
    </row>
    <row r="129" spans="1:29" x14ac:dyDescent="0.25">
      <c r="A129" s="37" t="s">
        <v>394</v>
      </c>
      <c r="B129" s="38" t="s">
        <v>446</v>
      </c>
      <c r="C129" s="38"/>
      <c r="D129" s="38" t="s">
        <v>447</v>
      </c>
      <c r="E129" s="38" t="s">
        <v>448</v>
      </c>
      <c r="F129" s="33">
        <v>1</v>
      </c>
      <c r="G129" s="33">
        <v>1</v>
      </c>
      <c r="H129" s="33">
        <f t="shared" si="9"/>
        <v>1</v>
      </c>
      <c r="I129" s="31" t="s">
        <v>234</v>
      </c>
      <c r="J129" s="30">
        <v>37.700000000000003</v>
      </c>
      <c r="K129" s="30">
        <v>134.02000000000001</v>
      </c>
      <c r="L129" s="31" t="s">
        <v>234</v>
      </c>
      <c r="M129" s="30">
        <f t="shared" si="11"/>
        <v>37.700000000000003</v>
      </c>
      <c r="N129" s="50">
        <v>20</v>
      </c>
      <c r="O129" s="117"/>
      <c r="P129" s="117"/>
      <c r="Q129" s="117">
        <f t="shared" si="6"/>
        <v>37.700000000000003</v>
      </c>
      <c r="R129" s="30">
        <f t="shared" si="12"/>
        <v>31.416666666666671</v>
      </c>
      <c r="S129" s="83"/>
      <c r="T129" s="83"/>
      <c r="U129" s="83"/>
      <c r="V129" s="32" t="s">
        <v>64</v>
      </c>
      <c r="W129" s="33">
        <v>200</v>
      </c>
      <c r="X129" s="30"/>
      <c r="Y129" s="34">
        <f t="shared" si="7"/>
        <v>0</v>
      </c>
      <c r="Z129" s="55"/>
      <c r="AA129" s="9"/>
      <c r="AB129" s="56">
        <v>30041090</v>
      </c>
      <c r="AC129" s="56">
        <v>5</v>
      </c>
    </row>
    <row r="130" spans="1:29" x14ac:dyDescent="0.25">
      <c r="A130" s="37" t="s">
        <v>394</v>
      </c>
      <c r="B130" s="38" t="s">
        <v>449</v>
      </c>
      <c r="C130" s="38"/>
      <c r="D130" s="38" t="s">
        <v>450</v>
      </c>
      <c r="E130" s="38" t="s">
        <v>451</v>
      </c>
      <c r="F130" s="33">
        <v>20</v>
      </c>
      <c r="G130" s="33">
        <v>6</v>
      </c>
      <c r="H130" s="33">
        <f t="shared" si="9"/>
        <v>120</v>
      </c>
      <c r="I130" s="31" t="s">
        <v>227</v>
      </c>
      <c r="J130" s="30">
        <v>31.75</v>
      </c>
      <c r="K130" s="36">
        <v>75.104701672000004</v>
      </c>
      <c r="L130" s="31" t="s">
        <v>452</v>
      </c>
      <c r="M130" s="30">
        <f t="shared" si="11"/>
        <v>635</v>
      </c>
      <c r="N130" s="50">
        <v>25</v>
      </c>
      <c r="O130" s="117"/>
      <c r="P130" s="117"/>
      <c r="Q130" s="117">
        <f t="shared" si="6"/>
        <v>635</v>
      </c>
      <c r="R130" s="30">
        <f t="shared" si="12"/>
        <v>508</v>
      </c>
      <c r="S130" s="83">
        <v>533.6</v>
      </c>
      <c r="T130" s="83">
        <v>587</v>
      </c>
      <c r="U130" s="83">
        <v>613.64</v>
      </c>
      <c r="V130" s="32"/>
      <c r="W130" s="33">
        <v>64</v>
      </c>
      <c r="X130" s="30"/>
      <c r="Y130" s="34">
        <f t="shared" si="7"/>
        <v>0</v>
      </c>
      <c r="Z130" s="55"/>
      <c r="AA130" s="9"/>
      <c r="AB130" s="56">
        <v>30049072</v>
      </c>
      <c r="AC130" s="56">
        <v>5</v>
      </c>
    </row>
    <row r="131" spans="1:29" x14ac:dyDescent="0.25">
      <c r="A131" s="37" t="s">
        <v>394</v>
      </c>
      <c r="B131" s="38" t="s">
        <v>453</v>
      </c>
      <c r="C131" s="38"/>
      <c r="D131" s="38" t="s">
        <v>454</v>
      </c>
      <c r="E131" s="38" t="s">
        <v>455</v>
      </c>
      <c r="F131" s="33">
        <v>20</v>
      </c>
      <c r="G131" s="33">
        <v>3</v>
      </c>
      <c r="H131" s="33">
        <f t="shared" si="9"/>
        <v>60</v>
      </c>
      <c r="I131" s="31" t="s">
        <v>456</v>
      </c>
      <c r="J131" s="30">
        <v>31.75</v>
      </c>
      <c r="K131" s="36">
        <v>76.000482756000011</v>
      </c>
      <c r="L131" s="31" t="s">
        <v>457</v>
      </c>
      <c r="M131" s="30">
        <f t="shared" si="11"/>
        <v>635</v>
      </c>
      <c r="N131" s="50">
        <v>25</v>
      </c>
      <c r="O131" s="117"/>
      <c r="P131" s="117"/>
      <c r="Q131" s="117">
        <f t="shared" si="6"/>
        <v>635</v>
      </c>
      <c r="R131" s="30">
        <f t="shared" si="12"/>
        <v>508</v>
      </c>
      <c r="S131" s="83">
        <v>533.6</v>
      </c>
      <c r="T131" s="83">
        <v>587</v>
      </c>
      <c r="U131" s="83">
        <v>613.64</v>
      </c>
      <c r="V131" s="32"/>
      <c r="W131" s="33">
        <v>45</v>
      </c>
      <c r="X131" s="30"/>
      <c r="Y131" s="34">
        <f t="shared" si="7"/>
        <v>0</v>
      </c>
      <c r="Z131" s="55"/>
      <c r="AA131" s="9"/>
      <c r="AB131" s="56">
        <v>30049072</v>
      </c>
      <c r="AC131" s="56">
        <v>5</v>
      </c>
    </row>
    <row r="132" spans="1:29" x14ac:dyDescent="0.25">
      <c r="A132" s="37" t="s">
        <v>394</v>
      </c>
      <c r="B132" s="38" t="s">
        <v>458</v>
      </c>
      <c r="C132" s="38"/>
      <c r="D132" s="38" t="s">
        <v>459</v>
      </c>
      <c r="E132" s="38" t="s">
        <v>460</v>
      </c>
      <c r="F132" s="33">
        <v>1</v>
      </c>
      <c r="G132" s="33">
        <v>1</v>
      </c>
      <c r="H132" s="33">
        <f>G132*F132</f>
        <v>1</v>
      </c>
      <c r="I132" s="31" t="s">
        <v>234</v>
      </c>
      <c r="J132" s="30">
        <v>39</v>
      </c>
      <c r="K132" s="36">
        <v>109.677825532</v>
      </c>
      <c r="L132" s="31" t="s">
        <v>461</v>
      </c>
      <c r="M132" s="30">
        <f t="shared" si="11"/>
        <v>39</v>
      </c>
      <c r="N132" s="107" t="s">
        <v>127</v>
      </c>
      <c r="O132" s="119"/>
      <c r="P132" s="119"/>
      <c r="Q132" s="117">
        <f t="shared" si="6"/>
        <v>39</v>
      </c>
      <c r="R132" s="30">
        <f t="shared" si="12"/>
        <v>39</v>
      </c>
      <c r="S132" s="83"/>
      <c r="T132" s="83"/>
      <c r="U132" s="83"/>
      <c r="V132" s="32" t="s">
        <v>64</v>
      </c>
      <c r="W132" s="33">
        <v>240</v>
      </c>
      <c r="X132" s="30"/>
      <c r="Y132" s="34">
        <f t="shared" si="7"/>
        <v>0</v>
      </c>
      <c r="Z132" s="55"/>
      <c r="AA132" s="9"/>
      <c r="AB132" s="56">
        <v>30049072</v>
      </c>
      <c r="AC132" s="56">
        <v>5</v>
      </c>
    </row>
    <row r="133" spans="1:29" x14ac:dyDescent="0.25">
      <c r="A133" s="37" t="s">
        <v>394</v>
      </c>
      <c r="B133" s="57" t="s">
        <v>462</v>
      </c>
      <c r="C133" s="57"/>
      <c r="D133" s="38" t="s">
        <v>463</v>
      </c>
      <c r="E133" s="38" t="s">
        <v>464</v>
      </c>
      <c r="F133" s="33">
        <v>20</v>
      </c>
      <c r="G133" s="33">
        <v>10</v>
      </c>
      <c r="H133" s="33">
        <f t="shared" si="9"/>
        <v>200</v>
      </c>
      <c r="I133" s="31" t="s">
        <v>46</v>
      </c>
      <c r="J133" s="30">
        <v>21</v>
      </c>
      <c r="K133" s="30">
        <v>82.15</v>
      </c>
      <c r="L133" s="51" t="s">
        <v>59</v>
      </c>
      <c r="M133" s="30">
        <f t="shared" si="11"/>
        <v>420</v>
      </c>
      <c r="N133" s="50">
        <v>0</v>
      </c>
      <c r="O133" s="117"/>
      <c r="P133" s="117"/>
      <c r="Q133" s="117">
        <f t="shared" si="6"/>
        <v>420</v>
      </c>
      <c r="R133" s="30">
        <f t="shared" si="12"/>
        <v>420</v>
      </c>
      <c r="S133" s="83"/>
      <c r="T133" s="83"/>
      <c r="U133" s="83"/>
      <c r="V133" s="32" t="s">
        <v>136</v>
      </c>
      <c r="W133" s="33">
        <v>50</v>
      </c>
      <c r="X133" s="30"/>
      <c r="Y133" s="34">
        <f t="shared" si="7"/>
        <v>0</v>
      </c>
      <c r="Z133" s="55"/>
      <c r="AA133" s="9"/>
      <c r="AB133" s="56">
        <v>30031000</v>
      </c>
      <c r="AC133" s="56">
        <v>5.0000000000000009</v>
      </c>
    </row>
    <row r="134" spans="1:29" x14ac:dyDescent="0.25">
      <c r="A134" s="37" t="s">
        <v>394</v>
      </c>
      <c r="B134" s="38" t="s">
        <v>465</v>
      </c>
      <c r="C134" s="38"/>
      <c r="D134" s="38" t="s">
        <v>466</v>
      </c>
      <c r="E134" s="38" t="s">
        <v>467</v>
      </c>
      <c r="F134" s="33">
        <v>20</v>
      </c>
      <c r="G134" s="33">
        <v>10</v>
      </c>
      <c r="H134" s="33">
        <f t="shared" si="9"/>
        <v>200</v>
      </c>
      <c r="I134" s="31" t="s">
        <v>46</v>
      </c>
      <c r="J134" s="30">
        <v>37</v>
      </c>
      <c r="K134" s="30">
        <v>104.38</v>
      </c>
      <c r="L134" s="31" t="s">
        <v>59</v>
      </c>
      <c r="M134" s="30">
        <f t="shared" si="11"/>
        <v>740</v>
      </c>
      <c r="N134" s="50">
        <v>20</v>
      </c>
      <c r="O134" s="117"/>
      <c r="P134" s="117"/>
      <c r="Q134" s="117">
        <f t="shared" si="6"/>
        <v>740</v>
      </c>
      <c r="R134" s="30">
        <f t="shared" si="12"/>
        <v>616.66666666666674</v>
      </c>
      <c r="S134" s="83"/>
      <c r="T134" s="83"/>
      <c r="U134" s="83"/>
      <c r="V134" s="32" t="s">
        <v>64</v>
      </c>
      <c r="W134" s="33">
        <v>40</v>
      </c>
      <c r="X134" s="30"/>
      <c r="Y134" s="34">
        <f t="shared" si="7"/>
        <v>0</v>
      </c>
      <c r="Z134" s="55"/>
      <c r="AA134" s="9"/>
      <c r="AB134" s="56">
        <v>30031000</v>
      </c>
      <c r="AC134" s="56">
        <v>5.0000000000000009</v>
      </c>
    </row>
    <row r="135" spans="1:29" x14ac:dyDescent="0.25">
      <c r="A135" s="37" t="s">
        <v>394</v>
      </c>
      <c r="B135" s="58" t="s">
        <v>468</v>
      </c>
      <c r="C135" s="58"/>
      <c r="D135" s="38" t="s">
        <v>469</v>
      </c>
      <c r="E135" s="38" t="s">
        <v>470</v>
      </c>
      <c r="F135" s="59">
        <v>20</v>
      </c>
      <c r="G135" s="33">
        <v>10</v>
      </c>
      <c r="H135" s="33">
        <f t="shared" si="9"/>
        <v>200</v>
      </c>
      <c r="I135" s="31" t="s">
        <v>46</v>
      </c>
      <c r="J135" s="30">
        <v>15.25</v>
      </c>
      <c r="K135" s="30">
        <v>45.28</v>
      </c>
      <c r="L135" s="31" t="s">
        <v>68</v>
      </c>
      <c r="M135" s="30">
        <f t="shared" si="11"/>
        <v>305</v>
      </c>
      <c r="N135" s="50">
        <v>0</v>
      </c>
      <c r="O135" s="117"/>
      <c r="P135" s="117"/>
      <c r="Q135" s="117">
        <f t="shared" si="6"/>
        <v>305</v>
      </c>
      <c r="R135" s="30">
        <f t="shared" si="12"/>
        <v>305</v>
      </c>
      <c r="S135" s="83"/>
      <c r="T135" s="83"/>
      <c r="U135" s="83"/>
      <c r="V135" s="32" t="s">
        <v>64</v>
      </c>
      <c r="W135" s="33">
        <v>50</v>
      </c>
      <c r="X135" s="30"/>
      <c r="Y135" s="34">
        <f t="shared" si="7"/>
        <v>0</v>
      </c>
      <c r="Z135" s="55"/>
      <c r="AA135" s="9"/>
      <c r="AB135" s="56">
        <v>30031000</v>
      </c>
      <c r="AC135" s="56">
        <v>5</v>
      </c>
    </row>
    <row r="136" spans="1:29" x14ac:dyDescent="0.25">
      <c r="A136" s="37" t="s">
        <v>394</v>
      </c>
      <c r="B136" s="38" t="s">
        <v>471</v>
      </c>
      <c r="C136" s="38"/>
      <c r="D136" s="38" t="s">
        <v>472</v>
      </c>
      <c r="E136" s="38" t="s">
        <v>473</v>
      </c>
      <c r="F136" s="33">
        <v>10</v>
      </c>
      <c r="G136" s="33">
        <v>6</v>
      </c>
      <c r="H136" s="33">
        <f t="shared" si="9"/>
        <v>60</v>
      </c>
      <c r="I136" s="31" t="s">
        <v>227</v>
      </c>
      <c r="J136" s="30">
        <v>66.150000000000006</v>
      </c>
      <c r="K136" s="30">
        <v>205.64</v>
      </c>
      <c r="L136" s="31" t="s">
        <v>474</v>
      </c>
      <c r="M136" s="30">
        <f t="shared" si="11"/>
        <v>661.5</v>
      </c>
      <c r="N136" s="50">
        <v>25</v>
      </c>
      <c r="O136" s="117"/>
      <c r="P136" s="117"/>
      <c r="Q136" s="117">
        <f t="shared" ref="Q136:Q199" si="13">M136-O136-P136</f>
        <v>661.5</v>
      </c>
      <c r="R136" s="30">
        <f t="shared" si="12"/>
        <v>529.20000000000005</v>
      </c>
      <c r="S136" s="83"/>
      <c r="T136" s="83"/>
      <c r="U136" s="83"/>
      <c r="V136" s="32" t="s">
        <v>64</v>
      </c>
      <c r="W136" s="33">
        <v>36</v>
      </c>
      <c r="X136" s="30"/>
      <c r="Y136" s="34">
        <f t="shared" ref="Y136:Y199" si="14">(X136*R136)/100000</f>
        <v>0</v>
      </c>
      <c r="Z136" s="55"/>
      <c r="AA136" s="9"/>
      <c r="AB136" s="56">
        <v>30042019</v>
      </c>
      <c r="AC136" s="56">
        <v>5</v>
      </c>
    </row>
    <row r="137" spans="1:29" x14ac:dyDescent="0.25">
      <c r="A137" s="37" t="s">
        <v>394</v>
      </c>
      <c r="B137" s="38" t="s">
        <v>475</v>
      </c>
      <c r="C137" s="38"/>
      <c r="D137" s="38" t="s">
        <v>476</v>
      </c>
      <c r="E137" s="38" t="s">
        <v>477</v>
      </c>
      <c r="F137" s="33">
        <v>10</v>
      </c>
      <c r="G137" s="33">
        <v>10</v>
      </c>
      <c r="H137" s="33">
        <f t="shared" si="9"/>
        <v>100</v>
      </c>
      <c r="I137" s="31" t="s">
        <v>46</v>
      </c>
      <c r="J137" s="30">
        <v>54.58</v>
      </c>
      <c r="K137" s="30">
        <v>260.52999999999997</v>
      </c>
      <c r="L137" s="31" t="s">
        <v>247</v>
      </c>
      <c r="M137" s="30">
        <f t="shared" si="11"/>
        <v>545.79999999999995</v>
      </c>
      <c r="N137" s="50">
        <v>16.75</v>
      </c>
      <c r="O137" s="117"/>
      <c r="P137" s="117"/>
      <c r="Q137" s="117">
        <f t="shared" si="13"/>
        <v>545.79999999999995</v>
      </c>
      <c r="R137" s="30">
        <f t="shared" si="12"/>
        <v>467.49464668094214</v>
      </c>
      <c r="S137" s="83"/>
      <c r="T137" s="83"/>
      <c r="U137" s="83"/>
      <c r="V137" s="32" t="s">
        <v>64</v>
      </c>
      <c r="W137" s="33">
        <v>54</v>
      </c>
      <c r="X137" s="30"/>
      <c r="Y137" s="34">
        <f t="shared" si="14"/>
        <v>0</v>
      </c>
      <c r="Z137" s="55"/>
      <c r="AA137" s="9"/>
      <c r="AB137" s="56">
        <v>30042019</v>
      </c>
      <c r="AC137" s="56">
        <v>5</v>
      </c>
    </row>
    <row r="138" spans="1:29" x14ac:dyDescent="0.25">
      <c r="A138" s="37" t="s">
        <v>394</v>
      </c>
      <c r="B138" s="38" t="s">
        <v>478</v>
      </c>
      <c r="C138" s="38"/>
      <c r="D138" s="38" t="s">
        <v>479</v>
      </c>
      <c r="E138" s="38" t="s">
        <v>480</v>
      </c>
      <c r="F138" s="33">
        <v>1</v>
      </c>
      <c r="G138" s="33">
        <v>1</v>
      </c>
      <c r="H138" s="33">
        <f t="shared" si="9"/>
        <v>1</v>
      </c>
      <c r="I138" s="31" t="s">
        <v>234</v>
      </c>
      <c r="J138" s="30">
        <v>23.1</v>
      </c>
      <c r="K138" s="30">
        <v>90.19</v>
      </c>
      <c r="L138" s="31" t="s">
        <v>234</v>
      </c>
      <c r="M138" s="30">
        <f t="shared" si="11"/>
        <v>23.1</v>
      </c>
      <c r="N138" s="50">
        <v>10</v>
      </c>
      <c r="O138" s="117"/>
      <c r="P138" s="117"/>
      <c r="Q138" s="117">
        <f t="shared" si="13"/>
        <v>23.1</v>
      </c>
      <c r="R138" s="30">
        <f t="shared" si="12"/>
        <v>21</v>
      </c>
      <c r="S138" s="83"/>
      <c r="T138" s="83"/>
      <c r="U138" s="83"/>
      <c r="V138" s="32" t="s">
        <v>64</v>
      </c>
      <c r="W138" s="33">
        <v>200</v>
      </c>
      <c r="X138" s="30"/>
      <c r="Y138" s="34">
        <f t="shared" si="14"/>
        <v>0</v>
      </c>
      <c r="Z138" s="55"/>
      <c r="AA138" s="9"/>
      <c r="AB138" s="56">
        <v>30042019</v>
      </c>
      <c r="AC138" s="56">
        <v>5</v>
      </c>
    </row>
    <row r="139" spans="1:29" x14ac:dyDescent="0.25">
      <c r="A139" s="37" t="s">
        <v>394</v>
      </c>
      <c r="B139" s="38" t="s">
        <v>481</v>
      </c>
      <c r="C139" s="38"/>
      <c r="D139" s="38" t="s">
        <v>482</v>
      </c>
      <c r="E139" s="38" t="s">
        <v>483</v>
      </c>
      <c r="F139" s="33">
        <v>1</v>
      </c>
      <c r="G139" s="33">
        <v>1</v>
      </c>
      <c r="H139" s="33">
        <f t="shared" si="9"/>
        <v>1</v>
      </c>
      <c r="I139" s="31" t="s">
        <v>234</v>
      </c>
      <c r="J139" s="30">
        <v>30</v>
      </c>
      <c r="K139" s="30">
        <v>76.28</v>
      </c>
      <c r="L139" s="31" t="s">
        <v>234</v>
      </c>
      <c r="M139" s="30">
        <f t="shared" si="11"/>
        <v>30</v>
      </c>
      <c r="N139" s="50">
        <v>5</v>
      </c>
      <c r="O139" s="117"/>
      <c r="P139" s="117"/>
      <c r="Q139" s="117">
        <f t="shared" si="13"/>
        <v>30</v>
      </c>
      <c r="R139" s="30">
        <f t="shared" si="12"/>
        <v>28.571428571428569</v>
      </c>
      <c r="S139" s="83"/>
      <c r="T139" s="83"/>
      <c r="U139" s="83"/>
      <c r="V139" s="32" t="s">
        <v>64</v>
      </c>
      <c r="W139" s="33">
        <v>200</v>
      </c>
      <c r="X139" s="30"/>
      <c r="Y139" s="34">
        <f t="shared" si="14"/>
        <v>0</v>
      </c>
      <c r="Z139" s="55"/>
      <c r="AA139" s="9"/>
      <c r="AB139" s="56">
        <v>30042019</v>
      </c>
      <c r="AC139" s="56">
        <v>5</v>
      </c>
    </row>
    <row r="140" spans="1:29" x14ac:dyDescent="0.25">
      <c r="A140" s="37" t="s">
        <v>394</v>
      </c>
      <c r="B140" s="38" t="s">
        <v>484</v>
      </c>
      <c r="C140" s="38"/>
      <c r="D140" s="38" t="s">
        <v>485</v>
      </c>
      <c r="E140" s="38" t="s">
        <v>486</v>
      </c>
      <c r="F140" s="33">
        <v>1</v>
      </c>
      <c r="G140" s="33">
        <v>1</v>
      </c>
      <c r="H140" s="33">
        <f t="shared" si="9"/>
        <v>1</v>
      </c>
      <c r="I140" s="31" t="s">
        <v>234</v>
      </c>
      <c r="J140" s="30">
        <v>24</v>
      </c>
      <c r="K140" s="30">
        <v>51.91</v>
      </c>
      <c r="L140" s="31" t="s">
        <v>234</v>
      </c>
      <c r="M140" s="30">
        <f t="shared" si="11"/>
        <v>24</v>
      </c>
      <c r="N140" s="50">
        <v>15</v>
      </c>
      <c r="O140" s="117"/>
      <c r="P140" s="117"/>
      <c r="Q140" s="117">
        <f t="shared" si="13"/>
        <v>24</v>
      </c>
      <c r="R140" s="30">
        <f t="shared" si="12"/>
        <v>20.869565217391305</v>
      </c>
      <c r="S140" s="83"/>
      <c r="T140" s="83"/>
      <c r="U140" s="83"/>
      <c r="V140" s="32" t="s">
        <v>64</v>
      </c>
      <c r="W140" s="33">
        <v>200</v>
      </c>
      <c r="X140" s="30"/>
      <c r="Y140" s="34">
        <f t="shared" si="14"/>
        <v>0</v>
      </c>
      <c r="Z140" s="55"/>
      <c r="AA140" s="9"/>
      <c r="AB140" s="56">
        <v>30042019</v>
      </c>
      <c r="AC140" s="56">
        <v>5</v>
      </c>
    </row>
    <row r="141" spans="1:29" x14ac:dyDescent="0.25">
      <c r="A141" s="37" t="s">
        <v>394</v>
      </c>
      <c r="B141" s="38" t="s">
        <v>487</v>
      </c>
      <c r="C141" s="38"/>
      <c r="D141" s="38" t="s">
        <v>488</v>
      </c>
      <c r="E141" s="38" t="s">
        <v>489</v>
      </c>
      <c r="F141" s="33">
        <v>20</v>
      </c>
      <c r="G141" s="33">
        <v>15</v>
      </c>
      <c r="H141" s="33">
        <f t="shared" si="9"/>
        <v>300</v>
      </c>
      <c r="I141" s="31" t="s">
        <v>112</v>
      </c>
      <c r="J141" s="30">
        <v>6.7799999999999994</v>
      </c>
      <c r="K141" s="30">
        <v>85.55</v>
      </c>
      <c r="L141" s="31" t="s">
        <v>490</v>
      </c>
      <c r="M141" s="30">
        <f t="shared" si="11"/>
        <v>135.6</v>
      </c>
      <c r="N141" s="50">
        <v>25</v>
      </c>
      <c r="O141" s="117"/>
      <c r="P141" s="117"/>
      <c r="Q141" s="117">
        <f t="shared" si="13"/>
        <v>135.6</v>
      </c>
      <c r="R141" s="30">
        <f t="shared" si="12"/>
        <v>108.47999999999999</v>
      </c>
      <c r="S141" s="83"/>
      <c r="T141" s="83"/>
      <c r="U141" s="83"/>
      <c r="V141" s="32" t="s">
        <v>64</v>
      </c>
      <c r="W141" s="33">
        <v>27</v>
      </c>
      <c r="X141" s="30"/>
      <c r="Y141" s="34">
        <f t="shared" si="14"/>
        <v>0</v>
      </c>
      <c r="Z141" s="55"/>
      <c r="AA141" s="9"/>
      <c r="AB141" s="56">
        <v>30045020</v>
      </c>
      <c r="AC141" s="56">
        <v>5</v>
      </c>
    </row>
    <row r="142" spans="1:29" x14ac:dyDescent="0.25">
      <c r="A142" s="37" t="s">
        <v>394</v>
      </c>
      <c r="B142" s="38" t="s">
        <v>491</v>
      </c>
      <c r="C142" s="38"/>
      <c r="D142" s="38" t="s">
        <v>492</v>
      </c>
      <c r="E142" s="38" t="s">
        <v>493</v>
      </c>
      <c r="F142" s="33">
        <v>1</v>
      </c>
      <c r="G142" s="33">
        <v>1</v>
      </c>
      <c r="H142" s="33">
        <f t="shared" si="9"/>
        <v>1</v>
      </c>
      <c r="I142" s="31" t="s">
        <v>494</v>
      </c>
      <c r="J142" s="30">
        <v>15.75</v>
      </c>
      <c r="K142" s="30">
        <v>69.42</v>
      </c>
      <c r="L142" s="31" t="s">
        <v>495</v>
      </c>
      <c r="M142" s="30">
        <f t="shared" si="11"/>
        <v>15.75</v>
      </c>
      <c r="N142" s="50">
        <v>15</v>
      </c>
      <c r="O142" s="117"/>
      <c r="P142" s="117"/>
      <c r="Q142" s="117">
        <f t="shared" si="13"/>
        <v>15.75</v>
      </c>
      <c r="R142" s="30">
        <f t="shared" si="12"/>
        <v>13.695652173913045</v>
      </c>
      <c r="S142" s="83">
        <v>13.95</v>
      </c>
      <c r="T142" s="83">
        <v>15.345000000000001</v>
      </c>
      <c r="U142" s="83">
        <v>16</v>
      </c>
      <c r="V142" s="32"/>
      <c r="W142" s="33">
        <v>240</v>
      </c>
      <c r="X142" s="30"/>
      <c r="Y142" s="34">
        <f t="shared" si="14"/>
        <v>0</v>
      </c>
      <c r="Z142" s="55"/>
      <c r="AA142" s="9" t="s">
        <v>496</v>
      </c>
      <c r="AB142" s="56">
        <v>30045036</v>
      </c>
      <c r="AC142" s="56">
        <v>5</v>
      </c>
    </row>
    <row r="143" spans="1:29" x14ac:dyDescent="0.25">
      <c r="A143" s="37" t="s">
        <v>394</v>
      </c>
      <c r="B143" s="38" t="s">
        <v>497</v>
      </c>
      <c r="C143" s="38"/>
      <c r="D143" s="38" t="s">
        <v>498</v>
      </c>
      <c r="E143" s="38" t="s">
        <v>499</v>
      </c>
      <c r="F143" s="33">
        <v>10</v>
      </c>
      <c r="G143" s="33">
        <v>4</v>
      </c>
      <c r="H143" s="33">
        <f t="shared" si="9"/>
        <v>40</v>
      </c>
      <c r="I143" s="31" t="s">
        <v>500</v>
      </c>
      <c r="J143" s="30">
        <v>17</v>
      </c>
      <c r="K143" s="36">
        <v>96.764486984000001</v>
      </c>
      <c r="L143" s="31" t="s">
        <v>501</v>
      </c>
      <c r="M143" s="30">
        <f t="shared" si="11"/>
        <v>170</v>
      </c>
      <c r="N143" s="50">
        <v>12</v>
      </c>
      <c r="O143" s="117"/>
      <c r="P143" s="117"/>
      <c r="Q143" s="117">
        <f t="shared" si="13"/>
        <v>170</v>
      </c>
      <c r="R143" s="30">
        <f t="shared" si="12"/>
        <v>151.78571428571428</v>
      </c>
      <c r="S143" s="83"/>
      <c r="T143" s="83"/>
      <c r="U143" s="83"/>
      <c r="V143" s="32" t="s">
        <v>64</v>
      </c>
      <c r="W143" s="33">
        <v>60</v>
      </c>
      <c r="X143" s="30"/>
      <c r="Y143" s="34">
        <f t="shared" si="14"/>
        <v>0</v>
      </c>
      <c r="Z143" s="55"/>
      <c r="AA143" s="9" t="s">
        <v>496</v>
      </c>
      <c r="AB143" s="56">
        <v>30045036</v>
      </c>
      <c r="AC143" s="56">
        <v>5</v>
      </c>
    </row>
    <row r="144" spans="1:29" x14ac:dyDescent="0.25">
      <c r="A144" s="37" t="s">
        <v>394</v>
      </c>
      <c r="B144" s="38" t="s">
        <v>502</v>
      </c>
      <c r="C144" s="38"/>
      <c r="D144" s="38" t="s">
        <v>503</v>
      </c>
      <c r="E144" s="38" t="s">
        <v>499</v>
      </c>
      <c r="F144" s="33">
        <v>10</v>
      </c>
      <c r="G144" s="33">
        <v>4</v>
      </c>
      <c r="H144" s="33">
        <f t="shared" si="9"/>
        <v>40</v>
      </c>
      <c r="I144" s="31" t="s">
        <v>504</v>
      </c>
      <c r="J144" s="30">
        <v>17</v>
      </c>
      <c r="K144" s="36">
        <v>132.344106444</v>
      </c>
      <c r="L144" s="31" t="s">
        <v>505</v>
      </c>
      <c r="M144" s="30">
        <f t="shared" si="11"/>
        <v>170</v>
      </c>
      <c r="N144" s="50">
        <v>12</v>
      </c>
      <c r="O144" s="117"/>
      <c r="P144" s="117"/>
      <c r="Q144" s="117">
        <f t="shared" si="13"/>
        <v>170</v>
      </c>
      <c r="R144" s="30">
        <f t="shared" si="12"/>
        <v>151.78571428571428</v>
      </c>
      <c r="S144" s="83">
        <v>15.25</v>
      </c>
      <c r="T144" s="83">
        <v>16.77</v>
      </c>
      <c r="U144" s="83">
        <v>17.53</v>
      </c>
      <c r="V144" s="32"/>
      <c r="W144" s="33">
        <v>50</v>
      </c>
      <c r="X144" s="30"/>
      <c r="Y144" s="34">
        <f t="shared" si="14"/>
        <v>0</v>
      </c>
      <c r="Z144" s="55"/>
      <c r="AA144" s="9" t="s">
        <v>496</v>
      </c>
      <c r="AB144" s="56">
        <v>30045036</v>
      </c>
      <c r="AC144" s="56">
        <v>5</v>
      </c>
    </row>
    <row r="145" spans="1:29" x14ac:dyDescent="0.25">
      <c r="A145" s="37" t="s">
        <v>394</v>
      </c>
      <c r="B145" s="38" t="s">
        <v>506</v>
      </c>
      <c r="C145" s="38"/>
      <c r="D145" s="38" t="s">
        <v>507</v>
      </c>
      <c r="E145" s="38" t="s">
        <v>499</v>
      </c>
      <c r="F145" s="33">
        <v>10</v>
      </c>
      <c r="G145" s="33">
        <v>8</v>
      </c>
      <c r="H145" s="33">
        <f t="shared" si="9"/>
        <v>80</v>
      </c>
      <c r="I145" s="31" t="s">
        <v>88</v>
      </c>
      <c r="J145" s="30">
        <v>34</v>
      </c>
      <c r="K145" s="30">
        <v>262.42</v>
      </c>
      <c r="L145" s="31" t="s">
        <v>508</v>
      </c>
      <c r="M145" s="30">
        <f t="shared" si="11"/>
        <v>340</v>
      </c>
      <c r="N145" s="50">
        <v>17</v>
      </c>
      <c r="O145" s="117"/>
      <c r="P145" s="117"/>
      <c r="Q145" s="117">
        <f t="shared" si="13"/>
        <v>340</v>
      </c>
      <c r="R145" s="30">
        <f t="shared" ref="R145:R176" si="15">M145/(1+N145%)</f>
        <v>290.59829059829059</v>
      </c>
      <c r="S145" s="83"/>
      <c r="T145" s="83"/>
      <c r="U145" s="83"/>
      <c r="V145" s="32" t="s">
        <v>64</v>
      </c>
      <c r="W145" s="33">
        <v>50</v>
      </c>
      <c r="X145" s="30"/>
      <c r="Y145" s="34">
        <f t="shared" si="14"/>
        <v>0</v>
      </c>
      <c r="Z145" s="55"/>
      <c r="AA145" s="9"/>
      <c r="AB145" s="56">
        <v>30045036</v>
      </c>
      <c r="AC145" s="56">
        <v>5</v>
      </c>
    </row>
    <row r="146" spans="1:29" x14ac:dyDescent="0.25">
      <c r="A146" s="37" t="s">
        <v>394</v>
      </c>
      <c r="B146" s="38" t="s">
        <v>509</v>
      </c>
      <c r="C146" s="38"/>
      <c r="D146" s="38" t="s">
        <v>510</v>
      </c>
      <c r="E146" s="38" t="s">
        <v>511</v>
      </c>
      <c r="F146" s="33">
        <v>1</v>
      </c>
      <c r="G146" s="33">
        <v>1</v>
      </c>
      <c r="H146" s="33">
        <f t="shared" si="9"/>
        <v>1</v>
      </c>
      <c r="I146" s="31" t="s">
        <v>234</v>
      </c>
      <c r="J146" s="30">
        <v>22.8</v>
      </c>
      <c r="K146" s="30">
        <v>83.64</v>
      </c>
      <c r="L146" s="31" t="s">
        <v>234</v>
      </c>
      <c r="M146" s="30">
        <f t="shared" si="11"/>
        <v>22.8</v>
      </c>
      <c r="N146" s="50">
        <v>15</v>
      </c>
      <c r="O146" s="117"/>
      <c r="P146" s="117"/>
      <c r="Q146" s="117">
        <f t="shared" si="13"/>
        <v>22.8</v>
      </c>
      <c r="R146" s="30">
        <f t="shared" si="15"/>
        <v>19.826086956521742</v>
      </c>
      <c r="S146" s="83"/>
      <c r="T146" s="83"/>
      <c r="U146" s="83"/>
      <c r="V146" s="32" t="s">
        <v>64</v>
      </c>
      <c r="W146" s="33">
        <v>80</v>
      </c>
      <c r="X146" s="30"/>
      <c r="Y146" s="34">
        <f t="shared" si="14"/>
        <v>0</v>
      </c>
      <c r="Z146" s="55"/>
      <c r="AA146" s="9" t="s">
        <v>496</v>
      </c>
      <c r="AB146" s="56">
        <v>30045036</v>
      </c>
      <c r="AC146" s="56">
        <v>5</v>
      </c>
    </row>
    <row r="147" spans="1:29" ht="33.75" x14ac:dyDescent="0.25">
      <c r="A147" s="37" t="s">
        <v>394</v>
      </c>
      <c r="B147" s="38" t="s">
        <v>512</v>
      </c>
      <c r="C147" s="38"/>
      <c r="D147" s="38" t="s">
        <v>513</v>
      </c>
      <c r="E147" s="44" t="s">
        <v>514</v>
      </c>
      <c r="F147" s="33">
        <v>10</v>
      </c>
      <c r="G147" s="33">
        <v>10</v>
      </c>
      <c r="H147" s="33">
        <f>G147*F147</f>
        <v>100</v>
      </c>
      <c r="I147" s="31" t="s">
        <v>46</v>
      </c>
      <c r="J147" s="30">
        <v>36.379999999999995</v>
      </c>
      <c r="K147" s="30">
        <v>185.95</v>
      </c>
      <c r="L147" s="31" t="s">
        <v>343</v>
      </c>
      <c r="M147" s="30">
        <f t="shared" si="11"/>
        <v>363.79999999999995</v>
      </c>
      <c r="N147" s="50">
        <v>5</v>
      </c>
      <c r="O147" s="117"/>
      <c r="P147" s="117"/>
      <c r="Q147" s="117">
        <f t="shared" si="13"/>
        <v>363.79999999999995</v>
      </c>
      <c r="R147" s="30">
        <f t="shared" si="15"/>
        <v>346.47619047619042</v>
      </c>
      <c r="S147" s="83"/>
      <c r="T147" s="83"/>
      <c r="U147" s="83"/>
      <c r="V147" s="32" t="s">
        <v>64</v>
      </c>
      <c r="W147" s="33">
        <v>40</v>
      </c>
      <c r="X147" s="30"/>
      <c r="Y147" s="34">
        <f t="shared" si="14"/>
        <v>0</v>
      </c>
      <c r="Z147" s="55"/>
      <c r="AA147" s="9" t="s">
        <v>496</v>
      </c>
      <c r="AB147" s="56">
        <v>30045039</v>
      </c>
      <c r="AC147" s="56">
        <v>5</v>
      </c>
    </row>
    <row r="148" spans="1:29" x14ac:dyDescent="0.25">
      <c r="A148" s="37" t="s">
        <v>394</v>
      </c>
      <c r="B148" s="38" t="s">
        <v>515</v>
      </c>
      <c r="C148" s="38"/>
      <c r="D148" s="38" t="s">
        <v>516</v>
      </c>
      <c r="E148" s="38" t="s">
        <v>517</v>
      </c>
      <c r="F148" s="33">
        <v>30</v>
      </c>
      <c r="G148" s="33">
        <v>10</v>
      </c>
      <c r="H148" s="33">
        <f t="shared" si="9"/>
        <v>300</v>
      </c>
      <c r="I148" s="31" t="s">
        <v>88</v>
      </c>
      <c r="J148" s="30">
        <v>15.990000000000002</v>
      </c>
      <c r="K148" s="30">
        <v>47.16</v>
      </c>
      <c r="L148" s="31" t="s">
        <v>220</v>
      </c>
      <c r="M148" s="30">
        <f t="shared" si="11"/>
        <v>479.70000000000005</v>
      </c>
      <c r="N148" s="50">
        <v>5</v>
      </c>
      <c r="O148" s="117"/>
      <c r="P148" s="117"/>
      <c r="Q148" s="117">
        <f t="shared" si="13"/>
        <v>479.70000000000005</v>
      </c>
      <c r="R148" s="30">
        <f t="shared" si="15"/>
        <v>456.85714285714289</v>
      </c>
      <c r="S148" s="83">
        <v>451.8</v>
      </c>
      <c r="T148" s="83">
        <v>497</v>
      </c>
      <c r="U148" s="83">
        <v>519.57000000000005</v>
      </c>
      <c r="V148" s="32"/>
      <c r="W148" s="33">
        <v>40</v>
      </c>
      <c r="X148" s="30"/>
      <c r="Y148" s="34">
        <f t="shared" si="14"/>
        <v>0</v>
      </c>
      <c r="Z148" s="55"/>
      <c r="AA148" s="9"/>
      <c r="AB148" s="56">
        <v>30041020</v>
      </c>
      <c r="AC148" s="56">
        <v>5</v>
      </c>
    </row>
    <row r="149" spans="1:29" x14ac:dyDescent="0.25">
      <c r="A149" s="37" t="s">
        <v>394</v>
      </c>
      <c r="B149" s="38" t="s">
        <v>518</v>
      </c>
      <c r="C149" s="38"/>
      <c r="D149" s="38" t="s">
        <v>519</v>
      </c>
      <c r="E149" s="38" t="s">
        <v>520</v>
      </c>
      <c r="F149" s="33">
        <v>20</v>
      </c>
      <c r="G149" s="33">
        <v>10</v>
      </c>
      <c r="H149" s="33">
        <f t="shared" si="9"/>
        <v>200</v>
      </c>
      <c r="I149" s="31" t="s">
        <v>88</v>
      </c>
      <c r="J149" s="30">
        <v>29.490000000000002</v>
      </c>
      <c r="K149" s="30">
        <v>89.95</v>
      </c>
      <c r="L149" s="31" t="s">
        <v>199</v>
      </c>
      <c r="M149" s="30">
        <f t="shared" si="11"/>
        <v>589.80000000000007</v>
      </c>
      <c r="N149" s="50">
        <v>5</v>
      </c>
      <c r="O149" s="117"/>
      <c r="P149" s="117"/>
      <c r="Q149" s="117">
        <f t="shared" si="13"/>
        <v>589.80000000000007</v>
      </c>
      <c r="R149" s="30">
        <f t="shared" si="15"/>
        <v>561.71428571428578</v>
      </c>
      <c r="S149" s="83">
        <v>563</v>
      </c>
      <c r="T149" s="83">
        <v>619.29999999999995</v>
      </c>
      <c r="U149" s="83">
        <v>703.75</v>
      </c>
      <c r="V149" s="32"/>
      <c r="W149" s="33">
        <v>30</v>
      </c>
      <c r="X149" s="30"/>
      <c r="Y149" s="34">
        <f t="shared" si="14"/>
        <v>0</v>
      </c>
      <c r="Z149" s="55"/>
      <c r="AA149" s="9"/>
      <c r="AB149" s="56">
        <v>30041020</v>
      </c>
      <c r="AC149" s="56">
        <v>5</v>
      </c>
    </row>
    <row r="150" spans="1:29" x14ac:dyDescent="0.25">
      <c r="A150" s="37" t="s">
        <v>394</v>
      </c>
      <c r="B150" s="38" t="s">
        <v>521</v>
      </c>
      <c r="C150" s="38"/>
      <c r="D150" s="38" t="s">
        <v>522</v>
      </c>
      <c r="E150" s="38" t="s">
        <v>523</v>
      </c>
      <c r="F150" s="33">
        <v>10</v>
      </c>
      <c r="G150" s="33">
        <v>20</v>
      </c>
      <c r="H150" s="33">
        <f t="shared" si="9"/>
        <v>200</v>
      </c>
      <c r="I150" s="31" t="s">
        <v>524</v>
      </c>
      <c r="J150" s="30">
        <v>41.67</v>
      </c>
      <c r="K150" s="30">
        <v>472.27</v>
      </c>
      <c r="L150" s="31" t="s">
        <v>525</v>
      </c>
      <c r="M150" s="30">
        <f t="shared" si="11"/>
        <v>416.70000000000005</v>
      </c>
      <c r="N150" s="50">
        <v>25</v>
      </c>
      <c r="O150" s="117"/>
      <c r="P150" s="117"/>
      <c r="Q150" s="117">
        <f t="shared" si="13"/>
        <v>416.70000000000005</v>
      </c>
      <c r="R150" s="30">
        <f t="shared" si="15"/>
        <v>333.36</v>
      </c>
      <c r="S150" s="83"/>
      <c r="T150" s="83"/>
      <c r="U150" s="83"/>
      <c r="V150" s="32" t="s">
        <v>64</v>
      </c>
      <c r="W150" s="33">
        <v>50</v>
      </c>
      <c r="X150" s="30"/>
      <c r="Y150" s="34">
        <f t="shared" si="14"/>
        <v>0</v>
      </c>
      <c r="Z150" s="55"/>
      <c r="AA150" s="9"/>
      <c r="AB150" s="56">
        <v>30049099</v>
      </c>
      <c r="AC150" s="56">
        <v>5</v>
      </c>
    </row>
    <row r="151" spans="1:29" x14ac:dyDescent="0.25">
      <c r="A151" s="37" t="s">
        <v>394</v>
      </c>
      <c r="B151" s="38" t="s">
        <v>526</v>
      </c>
      <c r="C151" s="38"/>
      <c r="D151" s="38" t="s">
        <v>527</v>
      </c>
      <c r="E151" s="38" t="s">
        <v>528</v>
      </c>
      <c r="F151" s="33">
        <v>10</v>
      </c>
      <c r="G151" s="33">
        <v>10</v>
      </c>
      <c r="H151" s="33">
        <f t="shared" si="9"/>
        <v>100</v>
      </c>
      <c r="I151" s="31" t="s">
        <v>46</v>
      </c>
      <c r="J151" s="30">
        <v>60.64</v>
      </c>
      <c r="K151" s="30">
        <v>261.75</v>
      </c>
      <c r="L151" s="31" t="s">
        <v>105</v>
      </c>
      <c r="M151" s="30">
        <f t="shared" si="11"/>
        <v>606.4</v>
      </c>
      <c r="N151" s="50">
        <v>25</v>
      </c>
      <c r="O151" s="117"/>
      <c r="P151" s="117"/>
      <c r="Q151" s="117">
        <f t="shared" si="13"/>
        <v>606.4</v>
      </c>
      <c r="R151" s="30">
        <f t="shared" si="15"/>
        <v>485.12</v>
      </c>
      <c r="S151" s="83"/>
      <c r="T151" s="83"/>
      <c r="U151" s="83"/>
      <c r="V151" s="32" t="s">
        <v>64</v>
      </c>
      <c r="W151" s="33">
        <v>30</v>
      </c>
      <c r="X151" s="30"/>
      <c r="Y151" s="34">
        <f t="shared" si="14"/>
        <v>0</v>
      </c>
      <c r="Z151" s="55"/>
      <c r="AA151" s="9"/>
      <c r="AB151" s="56">
        <v>30045090</v>
      </c>
      <c r="AC151" s="56">
        <v>5</v>
      </c>
    </row>
    <row r="152" spans="1:29" ht="22.5" x14ac:dyDescent="0.25">
      <c r="A152" s="37" t="s">
        <v>394</v>
      </c>
      <c r="B152" s="38" t="s">
        <v>529</v>
      </c>
      <c r="C152" s="38"/>
      <c r="D152" s="38" t="s">
        <v>530</v>
      </c>
      <c r="E152" s="44" t="s">
        <v>531</v>
      </c>
      <c r="F152" s="33">
        <v>1</v>
      </c>
      <c r="G152" s="33">
        <v>1</v>
      </c>
      <c r="H152" s="33">
        <f t="shared" si="9"/>
        <v>1</v>
      </c>
      <c r="I152" s="31" t="s">
        <v>315</v>
      </c>
      <c r="J152" s="36">
        <v>24.81</v>
      </c>
      <c r="K152" s="30">
        <v>107.44</v>
      </c>
      <c r="L152" s="31" t="s">
        <v>315</v>
      </c>
      <c r="M152" s="30">
        <f t="shared" si="11"/>
        <v>24.81</v>
      </c>
      <c r="N152" s="50">
        <v>25</v>
      </c>
      <c r="O152" s="117"/>
      <c r="P152" s="117"/>
      <c r="Q152" s="117">
        <f t="shared" si="13"/>
        <v>24.81</v>
      </c>
      <c r="R152" s="30">
        <f t="shared" si="15"/>
        <v>19.847999999999999</v>
      </c>
      <c r="S152" s="83"/>
      <c r="T152" s="83"/>
      <c r="U152" s="83"/>
      <c r="V152" s="32" t="s">
        <v>64</v>
      </c>
      <c r="W152" s="33">
        <v>100</v>
      </c>
      <c r="X152" s="30"/>
      <c r="Y152" s="34">
        <f t="shared" si="14"/>
        <v>0</v>
      </c>
      <c r="Z152" s="55"/>
      <c r="AA152" s="9"/>
      <c r="AB152" s="56">
        <v>30033900</v>
      </c>
      <c r="AC152" s="56">
        <v>5</v>
      </c>
    </row>
    <row r="153" spans="1:29" ht="22.5" x14ac:dyDescent="0.25">
      <c r="A153" s="37" t="s">
        <v>394</v>
      </c>
      <c r="B153" s="38" t="s">
        <v>532</v>
      </c>
      <c r="C153" s="38"/>
      <c r="D153" s="38" t="s">
        <v>533</v>
      </c>
      <c r="E153" s="44" t="s">
        <v>534</v>
      </c>
      <c r="F153" s="33">
        <v>1</v>
      </c>
      <c r="G153" s="33">
        <v>1</v>
      </c>
      <c r="H153" s="33">
        <f t="shared" si="9"/>
        <v>1</v>
      </c>
      <c r="I153" s="31" t="s">
        <v>315</v>
      </c>
      <c r="J153" s="30">
        <v>20.949999999999996</v>
      </c>
      <c r="K153" s="30">
        <v>136.08000000000001</v>
      </c>
      <c r="L153" s="31" t="s">
        <v>315</v>
      </c>
      <c r="M153" s="30">
        <f t="shared" si="11"/>
        <v>20.949999999999996</v>
      </c>
      <c r="N153" s="50">
        <v>20</v>
      </c>
      <c r="O153" s="117"/>
      <c r="P153" s="117"/>
      <c r="Q153" s="117">
        <f t="shared" si="13"/>
        <v>20.949999999999996</v>
      </c>
      <c r="R153" s="30">
        <f t="shared" si="15"/>
        <v>17.458333333333332</v>
      </c>
      <c r="S153" s="83"/>
      <c r="T153" s="83"/>
      <c r="U153" s="83"/>
      <c r="V153" s="32" t="s">
        <v>64</v>
      </c>
      <c r="W153" s="33">
        <v>120</v>
      </c>
      <c r="X153" s="30"/>
      <c r="Y153" s="34">
        <f t="shared" si="14"/>
        <v>0</v>
      </c>
      <c r="Z153" s="55"/>
      <c r="AA153" s="9"/>
      <c r="AB153" s="56">
        <v>30044030</v>
      </c>
      <c r="AC153" s="56">
        <v>5</v>
      </c>
    </row>
    <row r="154" spans="1:29" ht="22.5" x14ac:dyDescent="0.25">
      <c r="A154" s="37" t="s">
        <v>394</v>
      </c>
      <c r="B154" s="38" t="s">
        <v>535</v>
      </c>
      <c r="C154" s="38"/>
      <c r="D154" s="38" t="s">
        <v>536</v>
      </c>
      <c r="E154" s="44" t="s">
        <v>537</v>
      </c>
      <c r="F154" s="33">
        <v>1</v>
      </c>
      <c r="G154" s="33">
        <v>1</v>
      </c>
      <c r="H154" s="33">
        <f t="shared" si="9"/>
        <v>1</v>
      </c>
      <c r="I154" s="31" t="s">
        <v>311</v>
      </c>
      <c r="J154" s="36">
        <v>9.92</v>
      </c>
      <c r="K154" s="30">
        <v>57.19</v>
      </c>
      <c r="L154" s="31" t="s">
        <v>311</v>
      </c>
      <c r="M154" s="30">
        <f t="shared" si="11"/>
        <v>9.92</v>
      </c>
      <c r="N154" s="50">
        <v>0</v>
      </c>
      <c r="O154" s="117"/>
      <c r="P154" s="117"/>
      <c r="Q154" s="117">
        <f t="shared" si="13"/>
        <v>9.92</v>
      </c>
      <c r="R154" s="30">
        <f t="shared" si="15"/>
        <v>9.92</v>
      </c>
      <c r="S154" s="83"/>
      <c r="T154" s="83"/>
      <c r="U154" s="83"/>
      <c r="V154" s="32" t="s">
        <v>64</v>
      </c>
      <c r="W154" s="33">
        <v>180</v>
      </c>
      <c r="X154" s="30"/>
      <c r="Y154" s="34">
        <f t="shared" si="14"/>
        <v>0</v>
      </c>
      <c r="Z154" s="55"/>
      <c r="AA154" s="9"/>
      <c r="AB154" s="56">
        <v>30049099</v>
      </c>
      <c r="AC154" s="56">
        <v>5</v>
      </c>
    </row>
    <row r="155" spans="1:29" ht="22.5" x14ac:dyDescent="0.25">
      <c r="A155" s="37" t="s">
        <v>394</v>
      </c>
      <c r="B155" s="38" t="s">
        <v>538</v>
      </c>
      <c r="C155" s="38"/>
      <c r="D155" s="38" t="s">
        <v>536</v>
      </c>
      <c r="E155" s="44" t="s">
        <v>537</v>
      </c>
      <c r="F155" s="33">
        <v>1</v>
      </c>
      <c r="G155" s="33">
        <v>1</v>
      </c>
      <c r="H155" s="33">
        <f t="shared" si="9"/>
        <v>1</v>
      </c>
      <c r="I155" s="31" t="s">
        <v>315</v>
      </c>
      <c r="J155" s="36">
        <v>14.89</v>
      </c>
      <c r="K155" s="30">
        <v>97.22</v>
      </c>
      <c r="L155" s="31" t="s">
        <v>315</v>
      </c>
      <c r="M155" s="30">
        <f t="shared" si="11"/>
        <v>14.89</v>
      </c>
      <c r="N155" s="50">
        <v>0</v>
      </c>
      <c r="O155" s="117"/>
      <c r="P155" s="117"/>
      <c r="Q155" s="117">
        <f t="shared" si="13"/>
        <v>14.89</v>
      </c>
      <c r="R155" s="30">
        <f t="shared" si="15"/>
        <v>14.89</v>
      </c>
      <c r="S155" s="83"/>
      <c r="T155" s="83"/>
      <c r="U155" s="83"/>
      <c r="V155" s="32" t="s">
        <v>64</v>
      </c>
      <c r="W155" s="33">
        <v>120</v>
      </c>
      <c r="X155" s="30"/>
      <c r="Y155" s="34">
        <f t="shared" si="14"/>
        <v>0</v>
      </c>
      <c r="Z155" s="55"/>
      <c r="AA155" s="9"/>
      <c r="AB155" s="56">
        <v>30049099</v>
      </c>
      <c r="AC155" s="56">
        <v>5</v>
      </c>
    </row>
    <row r="156" spans="1:29" x14ac:dyDescent="0.25">
      <c r="A156" s="37" t="s">
        <v>394</v>
      </c>
      <c r="B156" s="38" t="s">
        <v>539</v>
      </c>
      <c r="C156" s="38"/>
      <c r="D156" s="38" t="s">
        <v>540</v>
      </c>
      <c r="E156" s="38" t="s">
        <v>541</v>
      </c>
      <c r="F156" s="33">
        <v>1</v>
      </c>
      <c r="G156" s="33">
        <v>1</v>
      </c>
      <c r="H156" s="33">
        <f t="shared" si="9"/>
        <v>1</v>
      </c>
      <c r="I156" s="31" t="s">
        <v>315</v>
      </c>
      <c r="J156" s="36">
        <v>65</v>
      </c>
      <c r="K156" s="30">
        <v>139.69</v>
      </c>
      <c r="L156" s="31" t="s">
        <v>315</v>
      </c>
      <c r="M156" s="30">
        <f t="shared" si="11"/>
        <v>65</v>
      </c>
      <c r="N156" s="50">
        <v>2</v>
      </c>
      <c r="O156" s="117"/>
      <c r="P156" s="117"/>
      <c r="Q156" s="117">
        <f t="shared" si="13"/>
        <v>65</v>
      </c>
      <c r="R156" s="30">
        <f t="shared" si="15"/>
        <v>63.725490196078432</v>
      </c>
      <c r="S156" s="83"/>
      <c r="T156" s="83"/>
      <c r="U156" s="83"/>
      <c r="V156" s="32" t="s">
        <v>64</v>
      </c>
      <c r="W156" s="33">
        <v>100</v>
      </c>
      <c r="X156" s="30"/>
      <c r="Y156" s="34">
        <f t="shared" si="14"/>
        <v>0</v>
      </c>
      <c r="Z156" s="55"/>
      <c r="AA156" s="9"/>
      <c r="AB156" s="56">
        <v>30044030</v>
      </c>
      <c r="AC156" s="56">
        <v>5.0000000000000009</v>
      </c>
    </row>
    <row r="157" spans="1:29" x14ac:dyDescent="0.25">
      <c r="A157" s="37" t="s">
        <v>394</v>
      </c>
      <c r="B157" s="38" t="s">
        <v>542</v>
      </c>
      <c r="C157" s="38"/>
      <c r="D157" s="38" t="s">
        <v>543</v>
      </c>
      <c r="E157" s="38" t="s">
        <v>544</v>
      </c>
      <c r="F157" s="33">
        <v>1</v>
      </c>
      <c r="G157" s="33">
        <v>1</v>
      </c>
      <c r="H157" s="33">
        <f t="shared" si="9"/>
        <v>1</v>
      </c>
      <c r="I157" s="31" t="s">
        <v>545</v>
      </c>
      <c r="J157" s="30">
        <v>65</v>
      </c>
      <c r="K157" s="36">
        <v>458.89153890800003</v>
      </c>
      <c r="L157" s="31" t="s">
        <v>546</v>
      </c>
      <c r="M157" s="30">
        <f t="shared" si="11"/>
        <v>65</v>
      </c>
      <c r="N157" s="50">
        <v>50</v>
      </c>
      <c r="O157" s="117"/>
      <c r="P157" s="117"/>
      <c r="Q157" s="117">
        <f t="shared" si="13"/>
        <v>65</v>
      </c>
      <c r="R157" s="30">
        <f t="shared" si="15"/>
        <v>43.333333333333336</v>
      </c>
      <c r="S157" s="83"/>
      <c r="T157" s="83"/>
      <c r="U157" s="83"/>
      <c r="V157" s="32" t="s">
        <v>64</v>
      </c>
      <c r="W157" s="33">
        <v>500</v>
      </c>
      <c r="X157" s="30"/>
      <c r="Y157" s="34">
        <f t="shared" si="14"/>
        <v>0</v>
      </c>
      <c r="Z157" s="55"/>
      <c r="AA157" s="9"/>
      <c r="AB157" s="56">
        <v>30043990</v>
      </c>
      <c r="AC157" s="56">
        <v>5</v>
      </c>
    </row>
    <row r="158" spans="1:29" x14ac:dyDescent="0.25">
      <c r="A158" s="37" t="s">
        <v>394</v>
      </c>
      <c r="B158" s="38" t="s">
        <v>547</v>
      </c>
      <c r="C158" s="38"/>
      <c r="D158" s="38" t="s">
        <v>548</v>
      </c>
      <c r="E158" s="38" t="s">
        <v>549</v>
      </c>
      <c r="F158" s="33">
        <v>10</v>
      </c>
      <c r="G158" s="33">
        <v>10</v>
      </c>
      <c r="H158" s="33">
        <f t="shared" si="9"/>
        <v>100</v>
      </c>
      <c r="I158" s="31" t="s">
        <v>46</v>
      </c>
      <c r="J158" s="30">
        <v>31.97</v>
      </c>
      <c r="K158" s="30">
        <v>158.72</v>
      </c>
      <c r="L158" s="31" t="s">
        <v>105</v>
      </c>
      <c r="M158" s="30">
        <f t="shared" si="11"/>
        <v>319.7</v>
      </c>
      <c r="N158" s="50">
        <v>110.00000000000001</v>
      </c>
      <c r="O158" s="117"/>
      <c r="P158" s="117"/>
      <c r="Q158" s="117">
        <f t="shared" si="13"/>
        <v>319.7</v>
      </c>
      <c r="R158" s="30">
        <f t="shared" si="15"/>
        <v>152.23809523809521</v>
      </c>
      <c r="S158" s="83"/>
      <c r="T158" s="83"/>
      <c r="U158" s="83"/>
      <c r="V158" s="32" t="s">
        <v>64</v>
      </c>
      <c r="W158" s="33">
        <v>60</v>
      </c>
      <c r="X158" s="30"/>
      <c r="Y158" s="34">
        <f t="shared" si="14"/>
        <v>0</v>
      </c>
      <c r="Z158" s="55"/>
      <c r="AA158" s="9" t="s">
        <v>550</v>
      </c>
      <c r="AB158" s="56">
        <v>30049099</v>
      </c>
      <c r="AC158" s="56">
        <v>5</v>
      </c>
    </row>
    <row r="159" spans="1:29" x14ac:dyDescent="0.25">
      <c r="A159" s="37" t="s">
        <v>394</v>
      </c>
      <c r="B159" s="38" t="s">
        <v>551</v>
      </c>
      <c r="C159" s="38"/>
      <c r="D159" s="38" t="s">
        <v>552</v>
      </c>
      <c r="E159" s="38" t="s">
        <v>553</v>
      </c>
      <c r="F159" s="33">
        <v>10</v>
      </c>
      <c r="G159" s="33">
        <v>10</v>
      </c>
      <c r="H159" s="33">
        <f t="shared" si="9"/>
        <v>100</v>
      </c>
      <c r="I159" s="31" t="s">
        <v>46</v>
      </c>
      <c r="J159" s="36">
        <v>39.69</v>
      </c>
      <c r="K159" s="30">
        <v>121.64</v>
      </c>
      <c r="L159" s="31" t="s">
        <v>105</v>
      </c>
      <c r="M159" s="30">
        <f t="shared" si="11"/>
        <v>396.9</v>
      </c>
      <c r="N159" s="50">
        <v>40</v>
      </c>
      <c r="O159" s="117"/>
      <c r="P159" s="117"/>
      <c r="Q159" s="117">
        <f t="shared" si="13"/>
        <v>396.9</v>
      </c>
      <c r="R159" s="30">
        <f t="shared" si="15"/>
        <v>283.5</v>
      </c>
      <c r="S159" s="83"/>
      <c r="T159" s="83"/>
      <c r="U159" s="83"/>
      <c r="V159" s="32" t="s">
        <v>64</v>
      </c>
      <c r="W159" s="33">
        <v>24</v>
      </c>
      <c r="X159" s="30"/>
      <c r="Y159" s="34">
        <f t="shared" si="14"/>
        <v>0</v>
      </c>
      <c r="Z159" s="55"/>
      <c r="AA159" s="9" t="s">
        <v>550</v>
      </c>
      <c r="AB159" s="56">
        <v>30049099</v>
      </c>
      <c r="AC159" s="56">
        <v>5</v>
      </c>
    </row>
    <row r="160" spans="1:29" x14ac:dyDescent="0.25">
      <c r="A160" s="37" t="s">
        <v>394</v>
      </c>
      <c r="B160" s="38" t="s">
        <v>554</v>
      </c>
      <c r="C160" s="38"/>
      <c r="D160" s="38" t="s">
        <v>555</v>
      </c>
      <c r="E160" s="38" t="s">
        <v>556</v>
      </c>
      <c r="F160" s="33">
        <v>10</v>
      </c>
      <c r="G160" s="33">
        <v>10</v>
      </c>
      <c r="H160" s="33">
        <f t="shared" si="9"/>
        <v>100</v>
      </c>
      <c r="I160" s="31" t="s">
        <v>46</v>
      </c>
      <c r="J160" s="30">
        <v>44.1</v>
      </c>
      <c r="K160" s="30">
        <v>127.83</v>
      </c>
      <c r="L160" s="31" t="s">
        <v>105</v>
      </c>
      <c r="M160" s="30">
        <f t="shared" si="11"/>
        <v>441</v>
      </c>
      <c r="N160" s="50">
        <v>25</v>
      </c>
      <c r="O160" s="117"/>
      <c r="P160" s="117"/>
      <c r="Q160" s="117">
        <f t="shared" si="13"/>
        <v>441</v>
      </c>
      <c r="R160" s="30">
        <f t="shared" si="15"/>
        <v>352.8</v>
      </c>
      <c r="S160" s="83"/>
      <c r="T160" s="83"/>
      <c r="U160" s="83"/>
      <c r="V160" s="32" t="s">
        <v>64</v>
      </c>
      <c r="W160" s="33">
        <v>20</v>
      </c>
      <c r="X160" s="30"/>
      <c r="Y160" s="34">
        <f t="shared" si="14"/>
        <v>0</v>
      </c>
      <c r="Z160" s="55"/>
      <c r="AA160" s="9" t="s">
        <v>550</v>
      </c>
      <c r="AB160" s="56">
        <v>30049099</v>
      </c>
      <c r="AC160" s="56">
        <v>5</v>
      </c>
    </row>
    <row r="161" spans="1:29" x14ac:dyDescent="0.25">
      <c r="A161" s="37" t="s">
        <v>394</v>
      </c>
      <c r="B161" s="38" t="s">
        <v>557</v>
      </c>
      <c r="C161" s="38"/>
      <c r="D161" s="38" t="s">
        <v>558</v>
      </c>
      <c r="E161" s="44" t="s">
        <v>559</v>
      </c>
      <c r="F161" s="33">
        <v>1</v>
      </c>
      <c r="G161" s="33">
        <v>1</v>
      </c>
      <c r="H161" s="33">
        <f t="shared" si="9"/>
        <v>1</v>
      </c>
      <c r="I161" s="31" t="s">
        <v>83</v>
      </c>
      <c r="J161" s="30">
        <v>24</v>
      </c>
      <c r="K161" s="30">
        <v>261.42882298237078</v>
      </c>
      <c r="L161" s="31" t="s">
        <v>83</v>
      </c>
      <c r="M161" s="30">
        <f t="shared" si="11"/>
        <v>24</v>
      </c>
      <c r="N161" s="50">
        <v>13</v>
      </c>
      <c r="O161" s="117"/>
      <c r="P161" s="117"/>
      <c r="Q161" s="117">
        <f t="shared" si="13"/>
        <v>24</v>
      </c>
      <c r="R161" s="30">
        <f t="shared" si="15"/>
        <v>21.238938053097346</v>
      </c>
      <c r="S161" s="83"/>
      <c r="T161" s="83"/>
      <c r="U161" s="83"/>
      <c r="V161" s="32" t="s">
        <v>64</v>
      </c>
      <c r="W161" s="33">
        <v>200</v>
      </c>
      <c r="X161" s="30"/>
      <c r="Y161" s="34">
        <f t="shared" si="14"/>
        <v>0</v>
      </c>
      <c r="Z161" s="55"/>
      <c r="AA161" s="9"/>
      <c r="AB161" s="56">
        <v>30049059</v>
      </c>
      <c r="AC161" s="56">
        <v>5</v>
      </c>
    </row>
    <row r="162" spans="1:29" ht="33.75" x14ac:dyDescent="0.25">
      <c r="A162" s="37" t="s">
        <v>394</v>
      </c>
      <c r="B162" s="38" t="s">
        <v>560</v>
      </c>
      <c r="C162" s="38"/>
      <c r="D162" s="38" t="s">
        <v>561</v>
      </c>
      <c r="E162" s="44" t="s">
        <v>562</v>
      </c>
      <c r="F162" s="33">
        <v>20</v>
      </c>
      <c r="G162" s="33">
        <v>15</v>
      </c>
      <c r="H162" s="33">
        <f t="shared" si="9"/>
        <v>300</v>
      </c>
      <c r="I162" s="31" t="s">
        <v>261</v>
      </c>
      <c r="J162" s="30">
        <v>9.8300000000000018</v>
      </c>
      <c r="K162" s="30">
        <v>77.39</v>
      </c>
      <c r="L162" s="31" t="s">
        <v>563</v>
      </c>
      <c r="M162" s="30">
        <f t="shared" si="11"/>
        <v>196.60000000000002</v>
      </c>
      <c r="N162" s="50">
        <v>0</v>
      </c>
      <c r="O162" s="117"/>
      <c r="P162" s="117"/>
      <c r="Q162" s="117">
        <f t="shared" si="13"/>
        <v>196.60000000000002</v>
      </c>
      <c r="R162" s="30">
        <f t="shared" si="15"/>
        <v>196.60000000000002</v>
      </c>
      <c r="S162" s="83"/>
      <c r="T162" s="83"/>
      <c r="U162" s="83"/>
      <c r="V162" s="32" t="s">
        <v>64</v>
      </c>
      <c r="W162" s="33">
        <v>30</v>
      </c>
      <c r="X162" s="30"/>
      <c r="Y162" s="34">
        <f t="shared" si="14"/>
        <v>0</v>
      </c>
      <c r="Z162" s="55"/>
      <c r="AA162" s="9"/>
      <c r="AB162" s="56">
        <v>30049099</v>
      </c>
      <c r="AC162" s="56">
        <v>5</v>
      </c>
    </row>
    <row r="163" spans="1:29" ht="22.5" x14ac:dyDescent="0.25">
      <c r="A163" s="37" t="s">
        <v>394</v>
      </c>
      <c r="B163" s="38" t="s">
        <v>564</v>
      </c>
      <c r="C163" s="38"/>
      <c r="D163" s="38" t="s">
        <v>565</v>
      </c>
      <c r="E163" s="44" t="s">
        <v>566</v>
      </c>
      <c r="F163" s="33">
        <v>1</v>
      </c>
      <c r="G163" s="33">
        <v>1</v>
      </c>
      <c r="H163" s="33">
        <f t="shared" si="9"/>
        <v>1</v>
      </c>
      <c r="I163" s="31" t="s">
        <v>567</v>
      </c>
      <c r="J163" s="30">
        <v>50</v>
      </c>
      <c r="K163" s="36">
        <v>308.60161591600001</v>
      </c>
      <c r="L163" s="31" t="s">
        <v>494</v>
      </c>
      <c r="M163" s="30">
        <f t="shared" si="11"/>
        <v>50</v>
      </c>
      <c r="N163" s="50">
        <v>90</v>
      </c>
      <c r="O163" s="117"/>
      <c r="P163" s="117"/>
      <c r="Q163" s="117">
        <f t="shared" si="13"/>
        <v>50</v>
      </c>
      <c r="R163" s="30">
        <f t="shared" si="15"/>
        <v>26.315789473684212</v>
      </c>
      <c r="S163" s="83"/>
      <c r="T163" s="83"/>
      <c r="U163" s="83"/>
      <c r="V163" s="32" t="s">
        <v>64</v>
      </c>
      <c r="W163" s="33">
        <v>180</v>
      </c>
      <c r="X163" s="30"/>
      <c r="Y163" s="34">
        <f t="shared" si="14"/>
        <v>0</v>
      </c>
      <c r="Z163" s="55"/>
      <c r="AA163" s="9"/>
      <c r="AB163" s="56">
        <v>30045090</v>
      </c>
      <c r="AC163" s="56">
        <v>5</v>
      </c>
    </row>
    <row r="164" spans="1:29" ht="22.5" x14ac:dyDescent="0.25">
      <c r="A164" s="37" t="s">
        <v>394</v>
      </c>
      <c r="B164" s="38" t="s">
        <v>568</v>
      </c>
      <c r="C164" s="38"/>
      <c r="D164" s="38" t="s">
        <v>569</v>
      </c>
      <c r="E164" s="44" t="s">
        <v>570</v>
      </c>
      <c r="F164" s="33">
        <v>15</v>
      </c>
      <c r="G164" s="33">
        <v>10</v>
      </c>
      <c r="H164" s="33">
        <f t="shared" ref="H164:H237" si="16">G164*F164</f>
        <v>150</v>
      </c>
      <c r="I164" s="31" t="s">
        <v>46</v>
      </c>
      <c r="J164" s="30">
        <v>24.810000000000002</v>
      </c>
      <c r="K164" s="30">
        <v>147.28</v>
      </c>
      <c r="L164" s="31" t="s">
        <v>571</v>
      </c>
      <c r="M164" s="30">
        <f t="shared" si="11"/>
        <v>372.15000000000003</v>
      </c>
      <c r="N164" s="50">
        <v>14.000000000000002</v>
      </c>
      <c r="O164" s="117"/>
      <c r="P164" s="117"/>
      <c r="Q164" s="117">
        <f t="shared" si="13"/>
        <v>372.15000000000003</v>
      </c>
      <c r="R164" s="30">
        <f t="shared" si="15"/>
        <v>326.4473684210526</v>
      </c>
      <c r="S164" s="83"/>
      <c r="T164" s="83"/>
      <c r="U164" s="83"/>
      <c r="V164" s="32" t="s">
        <v>64</v>
      </c>
      <c r="W164" s="33">
        <v>24</v>
      </c>
      <c r="X164" s="30"/>
      <c r="Y164" s="34">
        <f t="shared" si="14"/>
        <v>0</v>
      </c>
      <c r="Z164" s="55"/>
      <c r="AA164" s="9"/>
      <c r="AB164" s="56">
        <v>30045020</v>
      </c>
      <c r="AC164" s="56">
        <v>5</v>
      </c>
    </row>
    <row r="165" spans="1:29" x14ac:dyDescent="0.25">
      <c r="A165" s="37" t="s">
        <v>394</v>
      </c>
      <c r="B165" s="38" t="s">
        <v>572</v>
      </c>
      <c r="C165" s="38"/>
      <c r="D165" s="38" t="s">
        <v>573</v>
      </c>
      <c r="E165" s="38" t="s">
        <v>574</v>
      </c>
      <c r="F165" s="33">
        <v>72</v>
      </c>
      <c r="G165" s="33">
        <v>1</v>
      </c>
      <c r="H165" s="33">
        <f t="shared" si="16"/>
        <v>72</v>
      </c>
      <c r="I165" s="31" t="s">
        <v>41</v>
      </c>
      <c r="J165" s="30">
        <v>2.75</v>
      </c>
      <c r="K165" s="30">
        <v>12.89</v>
      </c>
      <c r="L165" s="31" t="s">
        <v>575</v>
      </c>
      <c r="M165" s="30">
        <f t="shared" si="11"/>
        <v>198</v>
      </c>
      <c r="N165" s="50">
        <v>0</v>
      </c>
      <c r="O165" s="117"/>
      <c r="P165" s="117"/>
      <c r="Q165" s="117">
        <f t="shared" si="13"/>
        <v>198</v>
      </c>
      <c r="R165" s="30">
        <f t="shared" si="15"/>
        <v>198</v>
      </c>
      <c r="S165" s="83">
        <v>208.08</v>
      </c>
      <c r="T165" s="83">
        <v>228.88800000000001</v>
      </c>
      <c r="U165" s="83">
        <v>239.3</v>
      </c>
      <c r="V165" s="32"/>
      <c r="W165" s="33">
        <v>36</v>
      </c>
      <c r="X165" s="30"/>
      <c r="Y165" s="34">
        <f t="shared" si="14"/>
        <v>0</v>
      </c>
      <c r="Z165" s="55"/>
      <c r="AA165" s="9"/>
      <c r="AB165" s="56">
        <v>30049079</v>
      </c>
      <c r="AC165" s="56">
        <v>5</v>
      </c>
    </row>
    <row r="166" spans="1:29" ht="33.75" x14ac:dyDescent="0.25">
      <c r="A166" s="37" t="s">
        <v>394</v>
      </c>
      <c r="B166" s="38" t="s">
        <v>576</v>
      </c>
      <c r="C166" s="38"/>
      <c r="D166" s="38" t="s">
        <v>577</v>
      </c>
      <c r="E166" s="44" t="s">
        <v>578</v>
      </c>
      <c r="F166" s="33">
        <v>1</v>
      </c>
      <c r="G166" s="33">
        <v>30</v>
      </c>
      <c r="H166" s="33">
        <f t="shared" si="16"/>
        <v>30</v>
      </c>
      <c r="I166" s="31" t="s">
        <v>579</v>
      </c>
      <c r="J166" s="36">
        <v>32.409999999999997</v>
      </c>
      <c r="K166" s="30">
        <v>143.30000000000001</v>
      </c>
      <c r="L166" s="31" t="s">
        <v>580</v>
      </c>
      <c r="M166" s="30">
        <f t="shared" si="11"/>
        <v>32.409999999999997</v>
      </c>
      <c r="N166" s="108" t="s">
        <v>127</v>
      </c>
      <c r="O166" s="120"/>
      <c r="P166" s="120"/>
      <c r="Q166" s="117">
        <f t="shared" si="13"/>
        <v>32.409999999999997</v>
      </c>
      <c r="R166" s="30">
        <f t="shared" si="15"/>
        <v>32.409999999999997</v>
      </c>
      <c r="S166" s="83"/>
      <c r="T166" s="83"/>
      <c r="U166" s="83"/>
      <c r="V166" s="32" t="s">
        <v>64</v>
      </c>
      <c r="W166" s="33">
        <v>70</v>
      </c>
      <c r="X166" s="30"/>
      <c r="Y166" s="34">
        <f t="shared" si="14"/>
        <v>0</v>
      </c>
      <c r="Z166" s="55"/>
      <c r="AA166" s="9"/>
      <c r="AB166" s="56">
        <v>30049011</v>
      </c>
      <c r="AC166" s="56">
        <v>5</v>
      </c>
    </row>
    <row r="167" spans="1:29" x14ac:dyDescent="0.25">
      <c r="A167" s="37" t="s">
        <v>394</v>
      </c>
      <c r="B167" s="38" t="s">
        <v>581</v>
      </c>
      <c r="C167" s="38"/>
      <c r="D167" s="38" t="s">
        <v>582</v>
      </c>
      <c r="E167" s="38" t="s">
        <v>583</v>
      </c>
      <c r="F167" s="33">
        <v>10</v>
      </c>
      <c r="G167" s="33">
        <v>10</v>
      </c>
      <c r="H167" s="33">
        <f t="shared" si="16"/>
        <v>100</v>
      </c>
      <c r="I167" s="31" t="s">
        <v>88</v>
      </c>
      <c r="J167" s="30">
        <v>13.210000000000004</v>
      </c>
      <c r="K167" s="30">
        <v>192.09</v>
      </c>
      <c r="L167" s="31" t="s">
        <v>89</v>
      </c>
      <c r="M167" s="30">
        <f t="shared" si="11"/>
        <v>132.10000000000005</v>
      </c>
      <c r="N167" s="50">
        <v>20</v>
      </c>
      <c r="O167" s="117"/>
      <c r="P167" s="117"/>
      <c r="Q167" s="117">
        <f t="shared" si="13"/>
        <v>132.10000000000005</v>
      </c>
      <c r="R167" s="30">
        <f t="shared" si="15"/>
        <v>110.08333333333339</v>
      </c>
      <c r="S167" s="83">
        <v>109.2</v>
      </c>
      <c r="T167" s="83">
        <v>120.12</v>
      </c>
      <c r="U167" s="83">
        <v>125.58</v>
      </c>
      <c r="V167" s="32"/>
      <c r="W167" s="33">
        <v>54</v>
      </c>
      <c r="X167" s="30"/>
      <c r="Y167" s="34">
        <f t="shared" si="14"/>
        <v>0</v>
      </c>
      <c r="Z167" s="55"/>
      <c r="AA167" s="9"/>
      <c r="AB167" s="56">
        <v>30049099</v>
      </c>
      <c r="AC167" s="56">
        <v>5</v>
      </c>
    </row>
    <row r="168" spans="1:29" x14ac:dyDescent="0.25">
      <c r="A168" s="37" t="s">
        <v>394</v>
      </c>
      <c r="B168" s="38" t="s">
        <v>584</v>
      </c>
      <c r="C168" s="38"/>
      <c r="D168" s="38" t="s">
        <v>585</v>
      </c>
      <c r="E168" s="44" t="s">
        <v>586</v>
      </c>
      <c r="F168" s="33">
        <v>10</v>
      </c>
      <c r="G168" s="33">
        <v>30</v>
      </c>
      <c r="H168" s="33">
        <f>G168*F168</f>
        <v>300</v>
      </c>
      <c r="I168" s="31">
        <v>30</v>
      </c>
      <c r="J168" s="30">
        <v>9.4</v>
      </c>
      <c r="K168" s="36">
        <v>119.06927390800001</v>
      </c>
      <c r="L168" s="31" t="s">
        <v>587</v>
      </c>
      <c r="M168" s="30">
        <f t="shared" si="11"/>
        <v>94</v>
      </c>
      <c r="N168" s="50">
        <v>15</v>
      </c>
      <c r="O168" s="117"/>
      <c r="P168" s="117"/>
      <c r="Q168" s="117">
        <f t="shared" si="13"/>
        <v>94</v>
      </c>
      <c r="R168" s="30">
        <f t="shared" si="15"/>
        <v>81.739130434782609</v>
      </c>
      <c r="S168" s="83"/>
      <c r="T168" s="83"/>
      <c r="U168" s="83"/>
      <c r="V168" s="32" t="s">
        <v>64</v>
      </c>
      <c r="W168" s="33">
        <v>48</v>
      </c>
      <c r="X168" s="30"/>
      <c r="Y168" s="34">
        <f t="shared" si="14"/>
        <v>0</v>
      </c>
      <c r="Z168" s="55"/>
      <c r="AA168" s="9"/>
      <c r="AB168" s="56">
        <v>30049099</v>
      </c>
      <c r="AC168" s="56">
        <v>5</v>
      </c>
    </row>
    <row r="169" spans="1:29" x14ac:dyDescent="0.25">
      <c r="A169" s="37" t="s">
        <v>394</v>
      </c>
      <c r="B169" s="38" t="s">
        <v>588</v>
      </c>
      <c r="C169" s="38"/>
      <c r="D169" s="38" t="s">
        <v>589</v>
      </c>
      <c r="E169" s="44" t="s">
        <v>590</v>
      </c>
      <c r="F169" s="33">
        <v>10</v>
      </c>
      <c r="G169" s="33">
        <v>30</v>
      </c>
      <c r="H169" s="33">
        <f>G169*F169</f>
        <v>300</v>
      </c>
      <c r="I169" s="31">
        <v>30</v>
      </c>
      <c r="J169" s="30">
        <v>11.35</v>
      </c>
      <c r="K169" s="36">
        <v>186.76532353600001</v>
      </c>
      <c r="L169" s="31" t="s">
        <v>587</v>
      </c>
      <c r="M169" s="30">
        <f t="shared" si="11"/>
        <v>113.5</v>
      </c>
      <c r="N169" s="50">
        <v>15</v>
      </c>
      <c r="O169" s="117"/>
      <c r="P169" s="117"/>
      <c r="Q169" s="117">
        <f t="shared" si="13"/>
        <v>113.5</v>
      </c>
      <c r="R169" s="30">
        <f t="shared" si="15"/>
        <v>98.695652173913047</v>
      </c>
      <c r="S169" s="83"/>
      <c r="T169" s="83"/>
      <c r="U169" s="83"/>
      <c r="V169" s="32" t="s">
        <v>64</v>
      </c>
      <c r="W169" s="33">
        <v>60</v>
      </c>
      <c r="X169" s="30"/>
      <c r="Y169" s="34">
        <f t="shared" si="14"/>
        <v>0</v>
      </c>
      <c r="Z169" s="55"/>
      <c r="AA169" s="9"/>
      <c r="AB169" s="56">
        <v>30049099</v>
      </c>
      <c r="AC169" s="56">
        <v>5</v>
      </c>
    </row>
    <row r="170" spans="1:29" ht="22.5" x14ac:dyDescent="0.25">
      <c r="A170" s="37" t="s">
        <v>394</v>
      </c>
      <c r="B170" s="38" t="s">
        <v>591</v>
      </c>
      <c r="C170" s="38"/>
      <c r="D170" s="38" t="s">
        <v>592</v>
      </c>
      <c r="E170" s="44" t="s">
        <v>593</v>
      </c>
      <c r="F170" s="33">
        <v>10</v>
      </c>
      <c r="G170" s="33">
        <v>15</v>
      </c>
      <c r="H170" s="33">
        <f>G170*F170</f>
        <v>150</v>
      </c>
      <c r="I170" s="31">
        <v>15</v>
      </c>
      <c r="J170" s="36">
        <v>21</v>
      </c>
      <c r="K170" s="30">
        <v>126.56</v>
      </c>
      <c r="L170" s="31" t="s">
        <v>386</v>
      </c>
      <c r="M170" s="30">
        <f t="shared" si="11"/>
        <v>210</v>
      </c>
      <c r="N170" s="50">
        <v>5</v>
      </c>
      <c r="O170" s="117"/>
      <c r="P170" s="117"/>
      <c r="Q170" s="117">
        <f t="shared" si="13"/>
        <v>210</v>
      </c>
      <c r="R170" s="30">
        <f t="shared" si="15"/>
        <v>200</v>
      </c>
      <c r="S170" s="83"/>
      <c r="T170" s="83"/>
      <c r="U170" s="83"/>
      <c r="V170" s="32" t="s">
        <v>64</v>
      </c>
      <c r="W170" s="33">
        <v>48</v>
      </c>
      <c r="X170" s="30"/>
      <c r="Y170" s="34">
        <f t="shared" si="14"/>
        <v>0</v>
      </c>
      <c r="Z170" s="55"/>
      <c r="AA170" s="9"/>
      <c r="AB170" s="56">
        <v>30033900</v>
      </c>
      <c r="AC170" s="56">
        <v>5</v>
      </c>
    </row>
    <row r="171" spans="1:29" ht="22.5" x14ac:dyDescent="0.25">
      <c r="A171" s="37" t="s">
        <v>394</v>
      </c>
      <c r="B171" s="38" t="s">
        <v>594</v>
      </c>
      <c r="C171" s="38"/>
      <c r="D171" s="38" t="s">
        <v>595</v>
      </c>
      <c r="E171" s="44" t="s">
        <v>596</v>
      </c>
      <c r="F171" s="33">
        <v>10</v>
      </c>
      <c r="G171" s="33">
        <v>15</v>
      </c>
      <c r="H171" s="33">
        <f>G171*F171</f>
        <v>150</v>
      </c>
      <c r="I171" s="31">
        <v>15</v>
      </c>
      <c r="J171" s="36">
        <v>24.260000000000005</v>
      </c>
      <c r="K171" s="30">
        <v>154.91999999999999</v>
      </c>
      <c r="L171" s="31" t="s">
        <v>386</v>
      </c>
      <c r="M171" s="30">
        <f t="shared" si="11"/>
        <v>242.60000000000005</v>
      </c>
      <c r="N171" s="50">
        <v>5</v>
      </c>
      <c r="O171" s="117"/>
      <c r="P171" s="117"/>
      <c r="Q171" s="117">
        <f t="shared" si="13"/>
        <v>242.60000000000005</v>
      </c>
      <c r="R171" s="30">
        <f t="shared" si="15"/>
        <v>231.04761904761909</v>
      </c>
      <c r="S171" s="83"/>
      <c r="T171" s="83"/>
      <c r="U171" s="83"/>
      <c r="V171" s="32" t="s">
        <v>64</v>
      </c>
      <c r="W171" s="33">
        <v>48</v>
      </c>
      <c r="X171" s="30"/>
      <c r="Y171" s="34">
        <f t="shared" si="14"/>
        <v>0</v>
      </c>
      <c r="Z171" s="55"/>
      <c r="AA171" s="9"/>
      <c r="AB171" s="56">
        <v>30033900</v>
      </c>
      <c r="AC171" s="56">
        <v>5</v>
      </c>
    </row>
    <row r="172" spans="1:29" x14ac:dyDescent="0.25">
      <c r="A172" s="37" t="s">
        <v>394</v>
      </c>
      <c r="B172" s="60" t="s">
        <v>597</v>
      </c>
      <c r="C172" s="60"/>
      <c r="D172" s="38" t="s">
        <v>598</v>
      </c>
      <c r="E172" s="38" t="s">
        <v>93</v>
      </c>
      <c r="F172" s="33">
        <v>10</v>
      </c>
      <c r="G172" s="33">
        <v>10</v>
      </c>
      <c r="H172" s="33">
        <f t="shared" si="16"/>
        <v>100</v>
      </c>
      <c r="I172" s="31" t="s">
        <v>88</v>
      </c>
      <c r="J172" s="30">
        <v>45</v>
      </c>
      <c r="K172" s="36">
        <v>161.47208910800001</v>
      </c>
      <c r="L172" s="31" t="s">
        <v>89</v>
      </c>
      <c r="M172" s="30">
        <f t="shared" si="11"/>
        <v>450</v>
      </c>
      <c r="N172" s="50">
        <v>50</v>
      </c>
      <c r="O172" s="117"/>
      <c r="P172" s="117"/>
      <c r="Q172" s="117">
        <f t="shared" si="13"/>
        <v>450</v>
      </c>
      <c r="R172" s="30">
        <f t="shared" si="15"/>
        <v>300</v>
      </c>
      <c r="S172" s="83">
        <v>315</v>
      </c>
      <c r="T172" s="83">
        <v>346.5</v>
      </c>
      <c r="U172" s="83">
        <v>362.25</v>
      </c>
      <c r="V172" s="32"/>
      <c r="W172" s="33">
        <v>48</v>
      </c>
      <c r="X172" s="30"/>
      <c r="Y172" s="34">
        <f t="shared" si="14"/>
        <v>0</v>
      </c>
      <c r="Z172" s="55"/>
      <c r="AA172" s="9" t="s">
        <v>94</v>
      </c>
      <c r="AB172" s="56">
        <v>30049029</v>
      </c>
      <c r="AC172" s="56">
        <v>5</v>
      </c>
    </row>
    <row r="173" spans="1:29" x14ac:dyDescent="0.25">
      <c r="A173" s="37" t="s">
        <v>394</v>
      </c>
      <c r="B173" s="58" t="s">
        <v>599</v>
      </c>
      <c r="C173" s="58"/>
      <c r="D173" s="38" t="s">
        <v>600</v>
      </c>
      <c r="E173" s="38" t="s">
        <v>97</v>
      </c>
      <c r="F173" s="33">
        <v>10</v>
      </c>
      <c r="G173" s="33">
        <v>10</v>
      </c>
      <c r="H173" s="33">
        <f t="shared" si="16"/>
        <v>100</v>
      </c>
      <c r="I173" s="31" t="s">
        <v>88</v>
      </c>
      <c r="J173" s="30">
        <v>75</v>
      </c>
      <c r="K173" s="36">
        <v>237.78458550000002</v>
      </c>
      <c r="L173" s="31" t="s">
        <v>89</v>
      </c>
      <c r="M173" s="30">
        <f t="shared" si="11"/>
        <v>750</v>
      </c>
      <c r="N173" s="50">
        <v>50</v>
      </c>
      <c r="O173" s="117"/>
      <c r="P173" s="117"/>
      <c r="Q173" s="117">
        <f t="shared" si="13"/>
        <v>750</v>
      </c>
      <c r="R173" s="30">
        <f t="shared" si="15"/>
        <v>500</v>
      </c>
      <c r="S173" s="83">
        <v>525</v>
      </c>
      <c r="T173" s="83">
        <v>577.5</v>
      </c>
      <c r="U173" s="83">
        <v>603.75</v>
      </c>
      <c r="V173" s="32"/>
      <c r="W173" s="33">
        <v>48</v>
      </c>
      <c r="X173" s="30"/>
      <c r="Y173" s="34">
        <f t="shared" si="14"/>
        <v>0</v>
      </c>
      <c r="Z173" s="55"/>
      <c r="AA173" s="9" t="s">
        <v>94</v>
      </c>
      <c r="AB173" s="56">
        <v>30049029</v>
      </c>
      <c r="AC173" s="56">
        <v>5</v>
      </c>
    </row>
    <row r="174" spans="1:29" x14ac:dyDescent="0.25">
      <c r="A174" s="37" t="s">
        <v>394</v>
      </c>
      <c r="B174" s="38" t="s">
        <v>601</v>
      </c>
      <c r="C174" s="38"/>
      <c r="D174" s="38" t="s">
        <v>602</v>
      </c>
      <c r="E174" s="38" t="s">
        <v>603</v>
      </c>
      <c r="F174" s="33">
        <v>50</v>
      </c>
      <c r="G174" s="33">
        <v>10</v>
      </c>
      <c r="H174" s="33">
        <f t="shared" si="16"/>
        <v>500</v>
      </c>
      <c r="I174" s="31" t="s">
        <v>46</v>
      </c>
      <c r="J174" s="30">
        <v>2.3499999999999996</v>
      </c>
      <c r="K174" s="30">
        <v>52.69</v>
      </c>
      <c r="L174" s="31" t="s">
        <v>604</v>
      </c>
      <c r="M174" s="30">
        <f t="shared" si="11"/>
        <v>117.49999999999999</v>
      </c>
      <c r="N174" s="50">
        <v>0</v>
      </c>
      <c r="O174" s="117"/>
      <c r="P174" s="117"/>
      <c r="Q174" s="117">
        <f t="shared" si="13"/>
        <v>117.49999999999999</v>
      </c>
      <c r="R174" s="30">
        <f t="shared" si="15"/>
        <v>117.49999999999999</v>
      </c>
      <c r="S174" s="83"/>
      <c r="T174" s="83"/>
      <c r="U174" s="83"/>
      <c r="V174" s="32" t="s">
        <v>64</v>
      </c>
      <c r="W174" s="33">
        <v>64</v>
      </c>
      <c r="X174" s="30"/>
      <c r="Y174" s="34">
        <f t="shared" si="14"/>
        <v>0</v>
      </c>
      <c r="Z174" s="55"/>
      <c r="AA174" s="9" t="s">
        <v>48</v>
      </c>
      <c r="AB174" s="56">
        <v>30049039</v>
      </c>
      <c r="AC174" s="56">
        <v>5.0000000000000009</v>
      </c>
    </row>
    <row r="175" spans="1:29" x14ac:dyDescent="0.25">
      <c r="A175" s="37" t="s">
        <v>394</v>
      </c>
      <c r="B175" s="38" t="s">
        <v>605</v>
      </c>
      <c r="C175" s="38"/>
      <c r="D175" s="38" t="s">
        <v>606</v>
      </c>
      <c r="E175" s="38" t="s">
        <v>240</v>
      </c>
      <c r="F175" s="33">
        <v>20</v>
      </c>
      <c r="G175" s="33">
        <v>10</v>
      </c>
      <c r="H175" s="33">
        <f t="shared" si="16"/>
        <v>200</v>
      </c>
      <c r="I175" s="31" t="s">
        <v>46</v>
      </c>
      <c r="J175" s="30">
        <v>18.149999999999999</v>
      </c>
      <c r="K175" s="36">
        <v>80</v>
      </c>
      <c r="L175" s="31" t="s">
        <v>607</v>
      </c>
      <c r="M175" s="30">
        <f t="shared" si="11"/>
        <v>363</v>
      </c>
      <c r="N175" s="50">
        <v>29</v>
      </c>
      <c r="O175" s="117"/>
      <c r="P175" s="117"/>
      <c r="Q175" s="117">
        <f t="shared" si="13"/>
        <v>363</v>
      </c>
      <c r="R175" s="30">
        <f t="shared" si="15"/>
        <v>281.39534883720927</v>
      </c>
      <c r="S175" s="83">
        <v>278.60000000000002</v>
      </c>
      <c r="T175" s="83">
        <v>306.35000000000002</v>
      </c>
      <c r="U175" s="83">
        <v>320.39</v>
      </c>
      <c r="V175" s="32"/>
      <c r="W175" s="33">
        <v>60</v>
      </c>
      <c r="X175" s="30"/>
      <c r="Y175" s="34">
        <f t="shared" si="14"/>
        <v>0</v>
      </c>
      <c r="Z175" s="55"/>
      <c r="AA175" s="9" t="s">
        <v>48</v>
      </c>
      <c r="AB175" s="56">
        <v>30049039</v>
      </c>
      <c r="AC175" s="56">
        <v>5</v>
      </c>
    </row>
    <row r="176" spans="1:29" x14ac:dyDescent="0.25">
      <c r="A176" s="37" t="s">
        <v>394</v>
      </c>
      <c r="B176" s="38" t="s">
        <v>608</v>
      </c>
      <c r="C176" s="38"/>
      <c r="D176" s="38" t="s">
        <v>609</v>
      </c>
      <c r="E176" s="38" t="s">
        <v>610</v>
      </c>
      <c r="F176" s="33">
        <v>1</v>
      </c>
      <c r="G176" s="33">
        <v>1</v>
      </c>
      <c r="H176" s="33">
        <f>G176*F176</f>
        <v>1</v>
      </c>
      <c r="I176" s="31" t="s">
        <v>254</v>
      </c>
      <c r="J176" s="30">
        <v>24.080000000000002</v>
      </c>
      <c r="K176" s="30">
        <v>102.19</v>
      </c>
      <c r="L176" s="31" t="s">
        <v>254</v>
      </c>
      <c r="M176" s="30">
        <f t="shared" si="11"/>
        <v>24.080000000000002</v>
      </c>
      <c r="N176" s="50">
        <v>0</v>
      </c>
      <c r="O176" s="117"/>
      <c r="P176" s="117"/>
      <c r="Q176" s="117">
        <f t="shared" si="13"/>
        <v>24.080000000000002</v>
      </c>
      <c r="R176" s="30">
        <f t="shared" si="15"/>
        <v>24.080000000000002</v>
      </c>
      <c r="S176" s="83"/>
      <c r="T176" s="83"/>
      <c r="U176" s="83"/>
      <c r="V176" s="32" t="s">
        <v>64</v>
      </c>
      <c r="W176" s="33">
        <v>120</v>
      </c>
      <c r="X176" s="30"/>
      <c r="Y176" s="34">
        <f t="shared" si="14"/>
        <v>0</v>
      </c>
      <c r="Z176" s="55"/>
      <c r="AA176" s="9"/>
      <c r="AB176" s="56">
        <v>30049029</v>
      </c>
      <c r="AC176" s="56">
        <v>5.0000000000000009</v>
      </c>
    </row>
    <row r="177" spans="1:29" x14ac:dyDescent="0.25">
      <c r="A177" s="37" t="s">
        <v>394</v>
      </c>
      <c r="B177" s="38" t="s">
        <v>611</v>
      </c>
      <c r="C177" s="38"/>
      <c r="D177" s="38" t="s">
        <v>612</v>
      </c>
      <c r="E177" s="38" t="s">
        <v>613</v>
      </c>
      <c r="F177" s="33">
        <v>1</v>
      </c>
      <c r="G177" s="33">
        <v>1</v>
      </c>
      <c r="H177" s="33">
        <f t="shared" si="16"/>
        <v>1</v>
      </c>
      <c r="I177" s="31" t="s">
        <v>234</v>
      </c>
      <c r="J177" s="30">
        <v>9.9200000000000017</v>
      </c>
      <c r="K177" s="30">
        <v>57.19</v>
      </c>
      <c r="L177" s="31" t="s">
        <v>234</v>
      </c>
      <c r="M177" s="30">
        <f t="shared" ref="M177:M221" si="17">J177*F177</f>
        <v>9.9200000000000017</v>
      </c>
      <c r="N177" s="50">
        <v>0</v>
      </c>
      <c r="O177" s="117"/>
      <c r="P177" s="117"/>
      <c r="Q177" s="117">
        <f t="shared" si="13"/>
        <v>9.9200000000000017</v>
      </c>
      <c r="R177" s="30">
        <f t="shared" ref="R177:R208" si="18">M177/(1+N177%)</f>
        <v>9.9200000000000017</v>
      </c>
      <c r="S177" s="83"/>
      <c r="T177" s="83"/>
      <c r="U177" s="83"/>
      <c r="V177" s="32" t="s">
        <v>64</v>
      </c>
      <c r="W177" s="33">
        <v>100</v>
      </c>
      <c r="X177" s="30"/>
      <c r="Y177" s="34">
        <f t="shared" si="14"/>
        <v>0</v>
      </c>
      <c r="Z177" s="55"/>
      <c r="AA177" s="9"/>
      <c r="AB177" s="56">
        <v>30049029</v>
      </c>
      <c r="AC177" s="56">
        <v>5</v>
      </c>
    </row>
    <row r="178" spans="1:29" x14ac:dyDescent="0.25">
      <c r="A178" s="37" t="s">
        <v>394</v>
      </c>
      <c r="B178" s="38" t="s">
        <v>614</v>
      </c>
      <c r="C178" s="38"/>
      <c r="D178" s="38" t="s">
        <v>615</v>
      </c>
      <c r="E178" s="38" t="s">
        <v>616</v>
      </c>
      <c r="F178" s="33">
        <v>20</v>
      </c>
      <c r="G178" s="33">
        <v>10</v>
      </c>
      <c r="H178" s="33">
        <f t="shared" si="16"/>
        <v>200</v>
      </c>
      <c r="I178" s="31" t="s">
        <v>46</v>
      </c>
      <c r="J178" s="30">
        <v>4</v>
      </c>
      <c r="K178" s="30">
        <v>17.100000000000001</v>
      </c>
      <c r="L178" s="31" t="s">
        <v>59</v>
      </c>
      <c r="M178" s="30">
        <f t="shared" si="17"/>
        <v>80</v>
      </c>
      <c r="N178" s="50">
        <v>0</v>
      </c>
      <c r="O178" s="117"/>
      <c r="P178" s="117"/>
      <c r="Q178" s="117">
        <f t="shared" si="13"/>
        <v>80</v>
      </c>
      <c r="R178" s="30">
        <f t="shared" si="18"/>
        <v>80</v>
      </c>
      <c r="S178" s="83"/>
      <c r="T178" s="83"/>
      <c r="U178" s="83"/>
      <c r="V178" s="32" t="s">
        <v>64</v>
      </c>
      <c r="W178" s="33">
        <v>40</v>
      </c>
      <c r="X178" s="30"/>
      <c r="Y178" s="34">
        <f t="shared" si="14"/>
        <v>0</v>
      </c>
      <c r="Z178" s="55"/>
      <c r="AA178" s="9"/>
      <c r="AB178" s="56">
        <v>30049039</v>
      </c>
      <c r="AC178" s="56">
        <v>5</v>
      </c>
    </row>
    <row r="179" spans="1:29" x14ac:dyDescent="0.25">
      <c r="A179" s="37" t="s">
        <v>394</v>
      </c>
      <c r="B179" s="38" t="s">
        <v>617</v>
      </c>
      <c r="C179" s="38"/>
      <c r="D179" s="38" t="s">
        <v>618</v>
      </c>
      <c r="E179" s="38" t="s">
        <v>619</v>
      </c>
      <c r="F179" s="33">
        <v>10</v>
      </c>
      <c r="G179" s="33">
        <v>15</v>
      </c>
      <c r="H179" s="33">
        <f t="shared" si="16"/>
        <v>150</v>
      </c>
      <c r="I179" s="31" t="s">
        <v>112</v>
      </c>
      <c r="J179" s="30">
        <v>19.96</v>
      </c>
      <c r="K179" s="30">
        <v>113.58</v>
      </c>
      <c r="L179" s="31" t="s">
        <v>386</v>
      </c>
      <c r="M179" s="30">
        <f t="shared" si="17"/>
        <v>199.60000000000002</v>
      </c>
      <c r="N179" s="50">
        <v>17.5</v>
      </c>
      <c r="O179" s="117"/>
      <c r="P179" s="117"/>
      <c r="Q179" s="117">
        <f t="shared" si="13"/>
        <v>199.60000000000002</v>
      </c>
      <c r="R179" s="30">
        <f t="shared" si="18"/>
        <v>169.87234042553192</v>
      </c>
      <c r="S179" s="83">
        <v>178.5</v>
      </c>
      <c r="T179" s="83">
        <v>196.35</v>
      </c>
      <c r="U179" s="83">
        <v>205.27</v>
      </c>
      <c r="V179" s="32"/>
      <c r="W179" s="33">
        <v>32</v>
      </c>
      <c r="X179" s="30"/>
      <c r="Y179" s="34">
        <f t="shared" si="14"/>
        <v>0</v>
      </c>
      <c r="Z179" s="55"/>
      <c r="AA179" s="9"/>
      <c r="AB179" s="56">
        <v>30049039</v>
      </c>
      <c r="AC179" s="56">
        <v>5</v>
      </c>
    </row>
    <row r="180" spans="1:29" x14ac:dyDescent="0.25">
      <c r="A180" s="37" t="s">
        <v>394</v>
      </c>
      <c r="B180" s="38" t="s">
        <v>620</v>
      </c>
      <c r="C180" s="38"/>
      <c r="D180" s="38" t="s">
        <v>621</v>
      </c>
      <c r="E180" s="38" t="s">
        <v>622</v>
      </c>
      <c r="F180" s="33">
        <v>10</v>
      </c>
      <c r="G180" s="33">
        <v>15</v>
      </c>
      <c r="H180" s="33">
        <f t="shared" si="16"/>
        <v>150</v>
      </c>
      <c r="I180" s="31" t="s">
        <v>112</v>
      </c>
      <c r="J180" s="30">
        <v>22.17</v>
      </c>
      <c r="K180" s="30">
        <v>143.86000000000001</v>
      </c>
      <c r="L180" s="31" t="s">
        <v>386</v>
      </c>
      <c r="M180" s="30">
        <f t="shared" si="17"/>
        <v>221.70000000000002</v>
      </c>
      <c r="N180" s="50">
        <v>17.5</v>
      </c>
      <c r="O180" s="117"/>
      <c r="P180" s="117"/>
      <c r="Q180" s="117">
        <f t="shared" si="13"/>
        <v>221.70000000000002</v>
      </c>
      <c r="R180" s="30">
        <f t="shared" si="18"/>
        <v>188.68085106382981</v>
      </c>
      <c r="S180" s="83">
        <v>198.3</v>
      </c>
      <c r="T180" s="83">
        <v>218.13</v>
      </c>
      <c r="U180" s="83">
        <v>228.04499999999999</v>
      </c>
      <c r="V180" s="32"/>
      <c r="W180" s="33">
        <v>45</v>
      </c>
      <c r="X180" s="30"/>
      <c r="Y180" s="34">
        <f t="shared" si="14"/>
        <v>0</v>
      </c>
      <c r="Z180" s="55"/>
      <c r="AA180" s="9"/>
      <c r="AB180" s="56">
        <v>30049039</v>
      </c>
      <c r="AC180" s="56">
        <v>5.0000000000000009</v>
      </c>
    </row>
    <row r="181" spans="1:29" x14ac:dyDescent="0.25">
      <c r="A181" s="37" t="s">
        <v>394</v>
      </c>
      <c r="B181" s="38" t="s">
        <v>623</v>
      </c>
      <c r="C181" s="38"/>
      <c r="D181" s="38" t="s">
        <v>624</v>
      </c>
      <c r="E181" s="38" t="s">
        <v>625</v>
      </c>
      <c r="F181" s="33">
        <v>10</v>
      </c>
      <c r="G181" s="33">
        <v>10</v>
      </c>
      <c r="H181" s="33">
        <f t="shared" si="16"/>
        <v>100</v>
      </c>
      <c r="I181" s="31" t="s">
        <v>46</v>
      </c>
      <c r="J181" s="30">
        <v>8.25</v>
      </c>
      <c r="K181" s="30">
        <v>41.31</v>
      </c>
      <c r="L181" s="31" t="s">
        <v>68</v>
      </c>
      <c r="M181" s="30">
        <f t="shared" si="17"/>
        <v>82.5</v>
      </c>
      <c r="N181" s="50">
        <v>24</v>
      </c>
      <c r="O181" s="117"/>
      <c r="P181" s="117"/>
      <c r="Q181" s="117">
        <f t="shared" si="13"/>
        <v>82.5</v>
      </c>
      <c r="R181" s="30">
        <f t="shared" si="18"/>
        <v>66.532258064516128</v>
      </c>
      <c r="S181" s="83"/>
      <c r="T181" s="83"/>
      <c r="U181" s="83"/>
      <c r="V181" s="32" t="s">
        <v>64</v>
      </c>
      <c r="W181" s="33">
        <v>36</v>
      </c>
      <c r="X181" s="30"/>
      <c r="Y181" s="34">
        <f t="shared" si="14"/>
        <v>0</v>
      </c>
      <c r="Z181" s="55"/>
      <c r="AA181" s="9"/>
      <c r="AB181" s="56">
        <v>30049074</v>
      </c>
      <c r="AC181" s="56">
        <v>5</v>
      </c>
    </row>
    <row r="182" spans="1:29" x14ac:dyDescent="0.25">
      <c r="A182" s="37" t="s">
        <v>394</v>
      </c>
      <c r="B182" s="38" t="s">
        <v>626</v>
      </c>
      <c r="C182" s="38"/>
      <c r="D182" s="38" t="s">
        <v>627</v>
      </c>
      <c r="E182" s="38" t="s">
        <v>628</v>
      </c>
      <c r="F182" s="33">
        <v>10</v>
      </c>
      <c r="G182" s="33">
        <v>10</v>
      </c>
      <c r="H182" s="33">
        <f t="shared" si="16"/>
        <v>100</v>
      </c>
      <c r="I182" s="31" t="s">
        <v>46</v>
      </c>
      <c r="J182" s="30">
        <v>9.25</v>
      </c>
      <c r="K182" s="36">
        <v>62.765065616000001</v>
      </c>
      <c r="L182" s="31" t="s">
        <v>68</v>
      </c>
      <c r="M182" s="30">
        <f t="shared" si="17"/>
        <v>92.5</v>
      </c>
      <c r="N182" s="50">
        <v>20</v>
      </c>
      <c r="O182" s="117"/>
      <c r="P182" s="117"/>
      <c r="Q182" s="117">
        <f t="shared" si="13"/>
        <v>92.5</v>
      </c>
      <c r="R182" s="30">
        <f t="shared" si="18"/>
        <v>77.083333333333343</v>
      </c>
      <c r="S182" s="83"/>
      <c r="T182" s="83"/>
      <c r="U182" s="83"/>
      <c r="V182" s="32" t="s">
        <v>64</v>
      </c>
      <c r="W182" s="33">
        <v>36</v>
      </c>
      <c r="X182" s="30"/>
      <c r="Y182" s="34">
        <f t="shared" si="14"/>
        <v>0</v>
      </c>
      <c r="Z182" s="55"/>
      <c r="AA182" s="9"/>
      <c r="AB182" s="56">
        <v>30049074</v>
      </c>
      <c r="AC182" s="56">
        <v>5</v>
      </c>
    </row>
    <row r="183" spans="1:29" x14ac:dyDescent="0.25">
      <c r="A183" s="37" t="s">
        <v>394</v>
      </c>
      <c r="B183" s="38" t="s">
        <v>629</v>
      </c>
      <c r="C183" s="38"/>
      <c r="D183" s="38" t="s">
        <v>630</v>
      </c>
      <c r="E183" s="38" t="s">
        <v>631</v>
      </c>
      <c r="F183" s="33">
        <v>10</v>
      </c>
      <c r="G183" s="33">
        <v>1</v>
      </c>
      <c r="H183" s="33">
        <f t="shared" si="16"/>
        <v>10</v>
      </c>
      <c r="I183" s="31" t="s">
        <v>148</v>
      </c>
      <c r="J183" s="30">
        <v>3.2</v>
      </c>
      <c r="K183" s="36">
        <v>12.802624032000001</v>
      </c>
      <c r="L183" s="31" t="s">
        <v>632</v>
      </c>
      <c r="M183" s="30">
        <f t="shared" si="17"/>
        <v>32</v>
      </c>
      <c r="N183" s="50">
        <v>28</v>
      </c>
      <c r="O183" s="117"/>
      <c r="P183" s="117"/>
      <c r="Q183" s="117">
        <f t="shared" si="13"/>
        <v>32</v>
      </c>
      <c r="R183" s="30">
        <f t="shared" si="18"/>
        <v>25</v>
      </c>
      <c r="S183" s="83"/>
      <c r="T183" s="83"/>
      <c r="U183" s="83"/>
      <c r="V183" s="32" t="s">
        <v>64</v>
      </c>
      <c r="W183" s="33">
        <v>180</v>
      </c>
      <c r="X183" s="30"/>
      <c r="Y183" s="34">
        <f t="shared" si="14"/>
        <v>0</v>
      </c>
      <c r="Z183" s="55"/>
      <c r="AA183" s="9"/>
      <c r="AB183" s="56">
        <v>30049035</v>
      </c>
      <c r="AC183" s="56">
        <v>5</v>
      </c>
    </row>
    <row r="184" spans="1:29" x14ac:dyDescent="0.25">
      <c r="A184" s="37" t="s">
        <v>394</v>
      </c>
      <c r="B184" s="38" t="s">
        <v>633</v>
      </c>
      <c r="C184" s="38"/>
      <c r="D184" s="38" t="s">
        <v>634</v>
      </c>
      <c r="E184" s="38" t="s">
        <v>635</v>
      </c>
      <c r="F184" s="33">
        <v>1</v>
      </c>
      <c r="G184" s="33">
        <v>1</v>
      </c>
      <c r="H184" s="33">
        <f t="shared" si="16"/>
        <v>1</v>
      </c>
      <c r="I184" s="31" t="s">
        <v>37</v>
      </c>
      <c r="J184" s="30">
        <v>6.25</v>
      </c>
      <c r="K184" s="36">
        <v>52.307576332000004</v>
      </c>
      <c r="L184" s="31" t="s">
        <v>37</v>
      </c>
      <c r="M184" s="30">
        <f t="shared" si="17"/>
        <v>6.25</v>
      </c>
      <c r="N184" s="50">
        <v>0</v>
      </c>
      <c r="O184" s="117"/>
      <c r="P184" s="117"/>
      <c r="Q184" s="117">
        <f t="shared" si="13"/>
        <v>6.25</v>
      </c>
      <c r="R184" s="30">
        <f t="shared" si="18"/>
        <v>6.25</v>
      </c>
      <c r="S184" s="83">
        <v>6.57</v>
      </c>
      <c r="T184" s="83">
        <v>7.2270000000000003</v>
      </c>
      <c r="U184" s="83">
        <v>7.55</v>
      </c>
      <c r="V184" s="32"/>
      <c r="W184" s="33">
        <v>480</v>
      </c>
      <c r="X184" s="30"/>
      <c r="Y184" s="34">
        <f t="shared" si="14"/>
        <v>0</v>
      </c>
      <c r="Z184" s="55"/>
      <c r="AA184" s="9"/>
      <c r="AB184" s="56">
        <v>30049035</v>
      </c>
      <c r="AC184" s="56">
        <v>5</v>
      </c>
    </row>
    <row r="185" spans="1:29" x14ac:dyDescent="0.25">
      <c r="A185" s="37" t="s">
        <v>394</v>
      </c>
      <c r="B185" s="38" t="s">
        <v>636</v>
      </c>
      <c r="C185" s="38"/>
      <c r="D185" s="38" t="s">
        <v>637</v>
      </c>
      <c r="E185" s="38" t="s">
        <v>638</v>
      </c>
      <c r="F185" s="33">
        <v>20</v>
      </c>
      <c r="G185" s="33">
        <v>10</v>
      </c>
      <c r="H185" s="33">
        <f t="shared" si="16"/>
        <v>200</v>
      </c>
      <c r="I185" s="31" t="s">
        <v>46</v>
      </c>
      <c r="J185" s="36">
        <v>4.3</v>
      </c>
      <c r="K185" s="36">
        <v>55.166023836000008</v>
      </c>
      <c r="L185" s="31" t="s">
        <v>131</v>
      </c>
      <c r="M185" s="30">
        <f t="shared" si="17"/>
        <v>86</v>
      </c>
      <c r="N185" s="50">
        <v>0</v>
      </c>
      <c r="O185" s="117"/>
      <c r="P185" s="117"/>
      <c r="Q185" s="117">
        <f t="shared" si="13"/>
        <v>86</v>
      </c>
      <c r="R185" s="30">
        <f t="shared" si="18"/>
        <v>86</v>
      </c>
      <c r="S185" s="83">
        <v>84</v>
      </c>
      <c r="T185" s="83">
        <v>92.4</v>
      </c>
      <c r="U185" s="83">
        <v>96.6</v>
      </c>
      <c r="V185" s="32"/>
      <c r="W185" s="33">
        <v>105</v>
      </c>
      <c r="X185" s="30"/>
      <c r="Y185" s="34">
        <f t="shared" si="14"/>
        <v>0</v>
      </c>
      <c r="Z185" s="55"/>
      <c r="AA185" s="9"/>
      <c r="AB185" s="56">
        <v>30033900</v>
      </c>
      <c r="AC185" s="56">
        <v>5</v>
      </c>
    </row>
    <row r="186" spans="1:29" x14ac:dyDescent="0.25">
      <c r="A186" s="37" t="s">
        <v>394</v>
      </c>
      <c r="B186" s="38" t="s">
        <v>639</v>
      </c>
      <c r="C186" s="38"/>
      <c r="D186" s="38" t="s">
        <v>640</v>
      </c>
      <c r="E186" s="38" t="s">
        <v>641</v>
      </c>
      <c r="F186" s="33">
        <v>1</v>
      </c>
      <c r="G186" s="33">
        <v>1</v>
      </c>
      <c r="H186" s="33">
        <f t="shared" si="16"/>
        <v>1</v>
      </c>
      <c r="I186" s="31" t="s">
        <v>234</v>
      </c>
      <c r="J186" s="36">
        <v>8.4</v>
      </c>
      <c r="K186" s="36">
        <v>40.320213736000007</v>
      </c>
      <c r="L186" s="31" t="s">
        <v>234</v>
      </c>
      <c r="M186" s="30">
        <f t="shared" si="17"/>
        <v>8.4</v>
      </c>
      <c r="N186" s="50">
        <v>0</v>
      </c>
      <c r="O186" s="117"/>
      <c r="P186" s="117"/>
      <c r="Q186" s="117">
        <f t="shared" si="13"/>
        <v>8.4</v>
      </c>
      <c r="R186" s="30">
        <f t="shared" si="18"/>
        <v>8.4</v>
      </c>
      <c r="S186" s="83"/>
      <c r="T186" s="83"/>
      <c r="U186" s="83"/>
      <c r="V186" s="32" t="s">
        <v>64</v>
      </c>
      <c r="W186" s="33">
        <v>200</v>
      </c>
      <c r="X186" s="30"/>
      <c r="Y186" s="34">
        <f t="shared" si="14"/>
        <v>0</v>
      </c>
      <c r="Z186" s="55"/>
      <c r="AA186" s="9"/>
      <c r="AB186" s="56">
        <v>30049069</v>
      </c>
      <c r="AC186" s="56">
        <v>5</v>
      </c>
    </row>
    <row r="187" spans="1:29" x14ac:dyDescent="0.25">
      <c r="A187" s="37" t="s">
        <v>394</v>
      </c>
      <c r="B187" s="38" t="s">
        <v>642</v>
      </c>
      <c r="C187" s="38"/>
      <c r="D187" s="38" t="s">
        <v>643</v>
      </c>
      <c r="E187" s="38" t="s">
        <v>644</v>
      </c>
      <c r="F187" s="33">
        <v>20</v>
      </c>
      <c r="G187" s="33">
        <v>15</v>
      </c>
      <c r="H187" s="33">
        <f t="shared" si="16"/>
        <v>300</v>
      </c>
      <c r="I187" s="31" t="s">
        <v>112</v>
      </c>
      <c r="J187" s="30">
        <v>26.83</v>
      </c>
      <c r="K187" s="30">
        <v>143.63</v>
      </c>
      <c r="L187" s="31" t="s">
        <v>243</v>
      </c>
      <c r="M187" s="30">
        <f t="shared" si="17"/>
        <v>536.59999999999991</v>
      </c>
      <c r="N187" s="50">
        <v>120</v>
      </c>
      <c r="O187" s="117"/>
      <c r="P187" s="117"/>
      <c r="Q187" s="117">
        <f t="shared" si="13"/>
        <v>536.59999999999991</v>
      </c>
      <c r="R187" s="30">
        <f t="shared" si="18"/>
        <v>243.90909090909085</v>
      </c>
      <c r="S187" s="83">
        <v>234.8</v>
      </c>
      <c r="T187" s="83">
        <v>258.27999999999997</v>
      </c>
      <c r="U187" s="83">
        <v>375.68</v>
      </c>
      <c r="V187" s="32"/>
      <c r="W187" s="33">
        <v>50</v>
      </c>
      <c r="X187" s="30"/>
      <c r="Y187" s="34">
        <f t="shared" si="14"/>
        <v>0</v>
      </c>
      <c r="Z187" s="55"/>
      <c r="AA187" s="9" t="s">
        <v>645</v>
      </c>
      <c r="AB187" s="56">
        <v>30049039</v>
      </c>
      <c r="AC187" s="56">
        <v>4.9999999999999991</v>
      </c>
    </row>
    <row r="188" spans="1:29" x14ac:dyDescent="0.25">
      <c r="A188" s="37" t="s">
        <v>394</v>
      </c>
      <c r="B188" s="38" t="s">
        <v>646</v>
      </c>
      <c r="C188" s="38"/>
      <c r="D188" s="38" t="s">
        <v>647</v>
      </c>
      <c r="E188" s="38" t="s">
        <v>648</v>
      </c>
      <c r="F188" s="33">
        <v>20</v>
      </c>
      <c r="G188" s="33">
        <v>10</v>
      </c>
      <c r="H188" s="33">
        <f t="shared" si="16"/>
        <v>200</v>
      </c>
      <c r="I188" s="31" t="s">
        <v>46</v>
      </c>
      <c r="J188" s="36">
        <v>11.5</v>
      </c>
      <c r="K188" s="30">
        <v>150.75</v>
      </c>
      <c r="L188" s="31" t="s">
        <v>131</v>
      </c>
      <c r="M188" s="30">
        <f t="shared" si="17"/>
        <v>230</v>
      </c>
      <c r="N188" s="50">
        <v>0</v>
      </c>
      <c r="O188" s="117"/>
      <c r="P188" s="117"/>
      <c r="Q188" s="117">
        <f t="shared" si="13"/>
        <v>230</v>
      </c>
      <c r="R188" s="30">
        <f t="shared" si="18"/>
        <v>230</v>
      </c>
      <c r="S188" s="83"/>
      <c r="T188" s="83"/>
      <c r="U188" s="83"/>
      <c r="V188" s="32" t="s">
        <v>64</v>
      </c>
      <c r="W188" s="33">
        <v>60</v>
      </c>
      <c r="X188" s="30"/>
      <c r="Y188" s="34">
        <f t="shared" si="14"/>
        <v>0</v>
      </c>
      <c r="Z188" s="55"/>
      <c r="AA188" s="9" t="s">
        <v>645</v>
      </c>
      <c r="AB188" s="56">
        <v>30022019</v>
      </c>
      <c r="AC188" s="56">
        <v>5</v>
      </c>
    </row>
    <row r="189" spans="1:29" x14ac:dyDescent="0.25">
      <c r="A189" s="37" t="s">
        <v>394</v>
      </c>
      <c r="B189" s="38" t="s">
        <v>649</v>
      </c>
      <c r="C189" s="38"/>
      <c r="D189" s="38" t="s">
        <v>650</v>
      </c>
      <c r="E189" s="38" t="s">
        <v>651</v>
      </c>
      <c r="F189" s="33">
        <v>20</v>
      </c>
      <c r="G189" s="33">
        <v>10</v>
      </c>
      <c r="H189" s="33">
        <f t="shared" si="16"/>
        <v>200</v>
      </c>
      <c r="I189" s="31" t="s">
        <v>46</v>
      </c>
      <c r="J189" s="30">
        <v>9.1600000000000019</v>
      </c>
      <c r="K189" s="30">
        <v>101.16</v>
      </c>
      <c r="L189" s="31" t="s">
        <v>131</v>
      </c>
      <c r="M189" s="30">
        <f t="shared" si="17"/>
        <v>183.20000000000005</v>
      </c>
      <c r="N189" s="50">
        <v>0</v>
      </c>
      <c r="O189" s="117"/>
      <c r="P189" s="117"/>
      <c r="Q189" s="117">
        <f t="shared" si="13"/>
        <v>183.20000000000005</v>
      </c>
      <c r="R189" s="30">
        <f t="shared" si="18"/>
        <v>183.20000000000005</v>
      </c>
      <c r="S189" s="83">
        <v>174.2</v>
      </c>
      <c r="T189" s="83">
        <v>191.62</v>
      </c>
      <c r="U189" s="83">
        <v>217.75</v>
      </c>
      <c r="V189" s="32"/>
      <c r="W189" s="33">
        <v>40</v>
      </c>
      <c r="X189" s="30"/>
      <c r="Y189" s="34">
        <f t="shared" si="14"/>
        <v>0</v>
      </c>
      <c r="Z189" s="55"/>
      <c r="AA189" s="9" t="s">
        <v>645</v>
      </c>
      <c r="AB189" s="56">
        <v>30049099</v>
      </c>
      <c r="AC189" s="56">
        <v>5</v>
      </c>
    </row>
    <row r="190" spans="1:29" x14ac:dyDescent="0.25">
      <c r="A190" s="37" t="s">
        <v>394</v>
      </c>
      <c r="B190" s="38" t="s">
        <v>652</v>
      </c>
      <c r="C190" s="38"/>
      <c r="D190" s="38" t="s">
        <v>653</v>
      </c>
      <c r="E190" s="38" t="s">
        <v>654</v>
      </c>
      <c r="F190" s="33">
        <v>20</v>
      </c>
      <c r="G190" s="33">
        <v>10</v>
      </c>
      <c r="H190" s="33">
        <f t="shared" si="16"/>
        <v>200</v>
      </c>
      <c r="I190" s="31" t="s">
        <v>88</v>
      </c>
      <c r="J190" s="30">
        <v>14.989999999999998</v>
      </c>
      <c r="K190" s="30">
        <v>144.56</v>
      </c>
      <c r="L190" s="31" t="s">
        <v>159</v>
      </c>
      <c r="M190" s="30">
        <f t="shared" si="17"/>
        <v>299.79999999999995</v>
      </c>
      <c r="N190" s="36">
        <v>5</v>
      </c>
      <c r="O190" s="99"/>
      <c r="P190" s="99"/>
      <c r="Q190" s="117">
        <f t="shared" si="13"/>
        <v>299.79999999999995</v>
      </c>
      <c r="R190" s="30">
        <f t="shared" si="18"/>
        <v>285.52380952380946</v>
      </c>
      <c r="S190" s="83">
        <v>280.8</v>
      </c>
      <c r="T190" s="83">
        <v>308.88</v>
      </c>
      <c r="U190" s="83">
        <v>322.92</v>
      </c>
      <c r="V190" s="32"/>
      <c r="W190" s="33">
        <v>60</v>
      </c>
      <c r="X190" s="30"/>
      <c r="Y190" s="34">
        <f t="shared" si="14"/>
        <v>0</v>
      </c>
      <c r="Z190" s="55"/>
      <c r="AA190" s="9" t="s">
        <v>645</v>
      </c>
      <c r="AB190" s="56">
        <v>30022019</v>
      </c>
      <c r="AC190" s="56">
        <v>5</v>
      </c>
    </row>
    <row r="191" spans="1:29" x14ac:dyDescent="0.25">
      <c r="A191" s="37" t="s">
        <v>394</v>
      </c>
      <c r="B191" s="38" t="s">
        <v>655</v>
      </c>
      <c r="C191" s="38"/>
      <c r="D191" s="38" t="s">
        <v>656</v>
      </c>
      <c r="E191" s="38" t="s">
        <v>657</v>
      </c>
      <c r="F191" s="33">
        <v>1</v>
      </c>
      <c r="G191" s="33">
        <v>1</v>
      </c>
      <c r="H191" s="33">
        <f t="shared" si="16"/>
        <v>1</v>
      </c>
      <c r="I191" s="31" t="s">
        <v>83</v>
      </c>
      <c r="J191" s="30">
        <v>11.75</v>
      </c>
      <c r="K191" s="36">
        <v>54.240047884000006</v>
      </c>
      <c r="L191" s="31" t="s">
        <v>37</v>
      </c>
      <c r="M191" s="30">
        <f t="shared" si="17"/>
        <v>11.75</v>
      </c>
      <c r="N191" s="50">
        <v>10</v>
      </c>
      <c r="O191" s="117"/>
      <c r="P191" s="117"/>
      <c r="Q191" s="117">
        <f t="shared" si="13"/>
        <v>11.75</v>
      </c>
      <c r="R191" s="30">
        <f t="shared" si="18"/>
        <v>10.681818181818182</v>
      </c>
      <c r="S191" s="83">
        <v>9.9600000000000009</v>
      </c>
      <c r="T191" s="83">
        <v>10.95</v>
      </c>
      <c r="U191" s="83">
        <v>11.45</v>
      </c>
      <c r="V191" s="32"/>
      <c r="W191" s="33">
        <v>300</v>
      </c>
      <c r="X191" s="30"/>
      <c r="Y191" s="34">
        <f t="shared" si="14"/>
        <v>0</v>
      </c>
      <c r="Z191" s="55"/>
      <c r="AA191" s="9"/>
      <c r="AB191" s="56">
        <v>30049039</v>
      </c>
      <c r="AC191" s="56">
        <v>5</v>
      </c>
    </row>
    <row r="192" spans="1:29" x14ac:dyDescent="0.25">
      <c r="A192" s="37" t="s">
        <v>394</v>
      </c>
      <c r="B192" s="38" t="s">
        <v>658</v>
      </c>
      <c r="C192" s="38"/>
      <c r="D192" s="38" t="s">
        <v>659</v>
      </c>
      <c r="E192" s="38" t="s">
        <v>660</v>
      </c>
      <c r="F192" s="33">
        <v>15</v>
      </c>
      <c r="G192" s="33">
        <v>10</v>
      </c>
      <c r="H192" s="33">
        <f t="shared" si="16"/>
        <v>150</v>
      </c>
      <c r="I192" s="31" t="s">
        <v>46</v>
      </c>
      <c r="J192" s="30">
        <v>20</v>
      </c>
      <c r="K192" s="30">
        <v>67.97</v>
      </c>
      <c r="L192" s="31" t="s">
        <v>571</v>
      </c>
      <c r="M192" s="30">
        <f t="shared" si="17"/>
        <v>300</v>
      </c>
      <c r="N192" s="50">
        <v>25</v>
      </c>
      <c r="O192" s="117"/>
      <c r="P192" s="117"/>
      <c r="Q192" s="117">
        <f t="shared" si="13"/>
        <v>300</v>
      </c>
      <c r="R192" s="30">
        <f t="shared" si="18"/>
        <v>240</v>
      </c>
      <c r="S192" s="83"/>
      <c r="T192" s="83"/>
      <c r="U192" s="83"/>
      <c r="V192" s="32" t="s">
        <v>64</v>
      </c>
      <c r="W192" s="33">
        <v>30</v>
      </c>
      <c r="X192" s="30"/>
      <c r="Y192" s="34">
        <f t="shared" si="14"/>
        <v>0</v>
      </c>
      <c r="Z192" s="55"/>
      <c r="AA192" s="9" t="s">
        <v>550</v>
      </c>
      <c r="AB192" s="56">
        <v>30042062</v>
      </c>
      <c r="AC192" s="56">
        <v>5</v>
      </c>
    </row>
    <row r="193" spans="1:29" x14ac:dyDescent="0.25">
      <c r="A193" s="37" t="s">
        <v>394</v>
      </c>
      <c r="B193" s="38" t="s">
        <v>661</v>
      </c>
      <c r="C193" s="38"/>
      <c r="D193" s="38" t="s">
        <v>662</v>
      </c>
      <c r="E193" s="38" t="s">
        <v>663</v>
      </c>
      <c r="F193" s="33">
        <v>15</v>
      </c>
      <c r="G193" s="33">
        <v>10</v>
      </c>
      <c r="H193" s="33">
        <f t="shared" si="16"/>
        <v>150</v>
      </c>
      <c r="I193" s="31" t="s">
        <v>46</v>
      </c>
      <c r="J193" s="30">
        <v>37.65</v>
      </c>
      <c r="K193" s="30">
        <v>119.39</v>
      </c>
      <c r="L193" s="31" t="s">
        <v>571</v>
      </c>
      <c r="M193" s="30">
        <f t="shared" si="17"/>
        <v>564.75</v>
      </c>
      <c r="N193" s="50">
        <v>36</v>
      </c>
      <c r="O193" s="117"/>
      <c r="P193" s="117"/>
      <c r="Q193" s="117">
        <f t="shared" si="13"/>
        <v>564.75</v>
      </c>
      <c r="R193" s="30">
        <f t="shared" si="18"/>
        <v>415.25735294117652</v>
      </c>
      <c r="S193" s="83"/>
      <c r="T193" s="83"/>
      <c r="U193" s="83"/>
      <c r="V193" s="32" t="s">
        <v>64</v>
      </c>
      <c r="W193" s="33">
        <v>42</v>
      </c>
      <c r="X193" s="30"/>
      <c r="Y193" s="34">
        <f t="shared" si="14"/>
        <v>0</v>
      </c>
      <c r="Z193" s="55"/>
      <c r="AA193" s="9" t="s">
        <v>550</v>
      </c>
      <c r="AB193" s="56">
        <v>30042062</v>
      </c>
      <c r="AC193" s="56">
        <v>5</v>
      </c>
    </row>
    <row r="194" spans="1:29" x14ac:dyDescent="0.25">
      <c r="A194" s="37" t="s">
        <v>394</v>
      </c>
      <c r="B194" s="38" t="s">
        <v>664</v>
      </c>
      <c r="C194" s="38"/>
      <c r="D194" s="38" t="s">
        <v>665</v>
      </c>
      <c r="E194" s="38" t="s">
        <v>666</v>
      </c>
      <c r="F194" s="33">
        <v>15</v>
      </c>
      <c r="G194" s="33">
        <v>10</v>
      </c>
      <c r="H194" s="33">
        <f t="shared" si="16"/>
        <v>150</v>
      </c>
      <c r="I194" s="31" t="s">
        <v>46</v>
      </c>
      <c r="J194" s="30">
        <v>56.48</v>
      </c>
      <c r="K194" s="30">
        <v>238.73</v>
      </c>
      <c r="L194" s="31" t="s">
        <v>571</v>
      </c>
      <c r="M194" s="30">
        <f t="shared" si="17"/>
        <v>847.19999999999993</v>
      </c>
      <c r="N194" s="50">
        <v>36</v>
      </c>
      <c r="O194" s="117"/>
      <c r="P194" s="117"/>
      <c r="Q194" s="117">
        <f t="shared" si="13"/>
        <v>847.19999999999993</v>
      </c>
      <c r="R194" s="30">
        <f t="shared" si="18"/>
        <v>622.94117647058829</v>
      </c>
      <c r="S194" s="83">
        <v>625.35</v>
      </c>
      <c r="T194" s="83">
        <v>687.88</v>
      </c>
      <c r="U194" s="83">
        <v>719.15</v>
      </c>
      <c r="V194" s="32"/>
      <c r="W194" s="33">
        <v>32</v>
      </c>
      <c r="X194" s="30"/>
      <c r="Y194" s="34">
        <f t="shared" si="14"/>
        <v>0</v>
      </c>
      <c r="Z194" s="55"/>
      <c r="AA194" s="9" t="s">
        <v>550</v>
      </c>
      <c r="AB194" s="56">
        <v>30042062</v>
      </c>
      <c r="AC194" s="56">
        <v>5</v>
      </c>
    </row>
    <row r="195" spans="1:29" x14ac:dyDescent="0.25">
      <c r="A195" s="37" t="s">
        <v>394</v>
      </c>
      <c r="B195" s="38" t="s">
        <v>667</v>
      </c>
      <c r="C195" s="38"/>
      <c r="D195" s="38" t="s">
        <v>668</v>
      </c>
      <c r="E195" s="38" t="s">
        <v>669</v>
      </c>
      <c r="F195" s="33">
        <v>10</v>
      </c>
      <c r="G195" s="33">
        <v>10</v>
      </c>
      <c r="H195" s="33">
        <f t="shared" si="16"/>
        <v>100</v>
      </c>
      <c r="I195" s="31" t="s">
        <v>46</v>
      </c>
      <c r="J195" s="30">
        <v>71.66</v>
      </c>
      <c r="K195" s="30">
        <v>436.69</v>
      </c>
      <c r="L195" s="31" t="s">
        <v>670</v>
      </c>
      <c r="M195" s="30">
        <f t="shared" si="17"/>
        <v>716.59999999999991</v>
      </c>
      <c r="N195" s="50">
        <v>25</v>
      </c>
      <c r="O195" s="117"/>
      <c r="P195" s="117"/>
      <c r="Q195" s="117">
        <f t="shared" si="13"/>
        <v>716.59999999999991</v>
      </c>
      <c r="R195" s="30">
        <f t="shared" si="18"/>
        <v>573.28</v>
      </c>
      <c r="S195" s="83">
        <v>601.9</v>
      </c>
      <c r="T195" s="83">
        <v>662.09</v>
      </c>
      <c r="U195" s="83">
        <v>692.85</v>
      </c>
      <c r="V195" s="32"/>
      <c r="W195" s="33">
        <v>60</v>
      </c>
      <c r="X195" s="30"/>
      <c r="Y195" s="34">
        <f t="shared" si="14"/>
        <v>0</v>
      </c>
      <c r="Z195" s="55"/>
      <c r="AA195" s="9" t="s">
        <v>550</v>
      </c>
      <c r="AB195" s="56">
        <v>30042062</v>
      </c>
      <c r="AC195" s="56">
        <v>5</v>
      </c>
    </row>
    <row r="196" spans="1:29" x14ac:dyDescent="0.25">
      <c r="A196" s="37" t="s">
        <v>394</v>
      </c>
      <c r="B196" s="38" t="s">
        <v>671</v>
      </c>
      <c r="C196" s="38"/>
      <c r="D196" s="38" t="s">
        <v>672</v>
      </c>
      <c r="E196" s="38" t="s">
        <v>673</v>
      </c>
      <c r="F196" s="33">
        <v>10</v>
      </c>
      <c r="G196" s="33">
        <v>10</v>
      </c>
      <c r="H196" s="33">
        <f t="shared" si="16"/>
        <v>100</v>
      </c>
      <c r="I196" s="31" t="s">
        <v>46</v>
      </c>
      <c r="J196" s="30">
        <v>38.590000000000003</v>
      </c>
      <c r="K196" s="30">
        <v>225</v>
      </c>
      <c r="L196" s="31" t="s">
        <v>670</v>
      </c>
      <c r="M196" s="30">
        <f t="shared" si="17"/>
        <v>385.90000000000003</v>
      </c>
      <c r="N196" s="50">
        <v>12</v>
      </c>
      <c r="O196" s="117"/>
      <c r="P196" s="117"/>
      <c r="Q196" s="117">
        <f t="shared" si="13"/>
        <v>385.90000000000003</v>
      </c>
      <c r="R196" s="30">
        <f t="shared" si="18"/>
        <v>344.55357142857144</v>
      </c>
      <c r="S196" s="83">
        <v>353.1</v>
      </c>
      <c r="T196" s="83">
        <v>388.41</v>
      </c>
      <c r="U196" s="83">
        <v>406</v>
      </c>
      <c r="V196" s="32"/>
      <c r="W196" s="33">
        <v>60</v>
      </c>
      <c r="X196" s="30"/>
      <c r="Y196" s="34">
        <f t="shared" si="14"/>
        <v>0</v>
      </c>
      <c r="Z196" s="55"/>
      <c r="AA196" s="9" t="s">
        <v>550</v>
      </c>
      <c r="AB196" s="56">
        <v>30049099</v>
      </c>
      <c r="AC196" s="56">
        <v>5</v>
      </c>
    </row>
    <row r="197" spans="1:29" x14ac:dyDescent="0.25">
      <c r="A197" s="37" t="s">
        <v>394</v>
      </c>
      <c r="B197" s="38" t="s">
        <v>674</v>
      </c>
      <c r="C197" s="38"/>
      <c r="D197" s="38" t="s">
        <v>675</v>
      </c>
      <c r="E197" s="38" t="s">
        <v>676</v>
      </c>
      <c r="F197" s="33">
        <v>10</v>
      </c>
      <c r="G197" s="33">
        <v>10</v>
      </c>
      <c r="H197" s="33">
        <f t="shared" si="16"/>
        <v>100</v>
      </c>
      <c r="I197" s="31" t="s">
        <v>46</v>
      </c>
      <c r="J197" s="30">
        <v>42</v>
      </c>
      <c r="K197" s="30">
        <v>304.69</v>
      </c>
      <c r="L197" s="31" t="s">
        <v>670</v>
      </c>
      <c r="M197" s="30">
        <f t="shared" si="17"/>
        <v>420</v>
      </c>
      <c r="N197" s="50">
        <v>10</v>
      </c>
      <c r="O197" s="117"/>
      <c r="P197" s="117"/>
      <c r="Q197" s="117">
        <f t="shared" si="13"/>
        <v>420</v>
      </c>
      <c r="R197" s="30">
        <f t="shared" si="18"/>
        <v>381.81818181818181</v>
      </c>
      <c r="S197" s="83"/>
      <c r="T197" s="83"/>
      <c r="U197" s="83"/>
      <c r="V197" s="32" t="s">
        <v>64</v>
      </c>
      <c r="W197" s="33">
        <v>60</v>
      </c>
      <c r="X197" s="30"/>
      <c r="Y197" s="34">
        <f t="shared" si="14"/>
        <v>0</v>
      </c>
      <c r="Z197" s="55"/>
      <c r="AA197" s="9" t="s">
        <v>550</v>
      </c>
      <c r="AB197" s="56">
        <v>30049099</v>
      </c>
      <c r="AC197" s="56">
        <v>5</v>
      </c>
    </row>
    <row r="198" spans="1:29" x14ac:dyDescent="0.25">
      <c r="A198" s="37" t="s">
        <v>394</v>
      </c>
      <c r="B198" s="38" t="s">
        <v>677</v>
      </c>
      <c r="C198" s="38"/>
      <c r="D198" s="38" t="s">
        <v>678</v>
      </c>
      <c r="E198" s="38" t="s">
        <v>679</v>
      </c>
      <c r="F198" s="33">
        <v>10</v>
      </c>
      <c r="G198" s="33">
        <v>10</v>
      </c>
      <c r="H198" s="33">
        <f t="shared" si="16"/>
        <v>100</v>
      </c>
      <c r="I198" s="31" t="s">
        <v>88</v>
      </c>
      <c r="J198" s="30">
        <v>43.55</v>
      </c>
      <c r="K198" s="30">
        <v>205.17</v>
      </c>
      <c r="L198" s="31" t="s">
        <v>680</v>
      </c>
      <c r="M198" s="30">
        <f t="shared" si="17"/>
        <v>435.5</v>
      </c>
      <c r="N198" s="50">
        <v>40</v>
      </c>
      <c r="O198" s="117"/>
      <c r="P198" s="117"/>
      <c r="Q198" s="117">
        <f t="shared" si="13"/>
        <v>435.5</v>
      </c>
      <c r="R198" s="30">
        <f t="shared" si="18"/>
        <v>311.07142857142861</v>
      </c>
      <c r="S198" s="83"/>
      <c r="T198" s="83"/>
      <c r="U198" s="83"/>
      <c r="V198" s="32" t="s">
        <v>64</v>
      </c>
      <c r="W198" s="33">
        <v>72</v>
      </c>
      <c r="X198" s="30"/>
      <c r="Y198" s="34">
        <f t="shared" si="14"/>
        <v>0</v>
      </c>
      <c r="Z198" s="55"/>
      <c r="AA198" s="9" t="s">
        <v>550</v>
      </c>
      <c r="AB198" s="56">
        <v>30042062</v>
      </c>
      <c r="AC198" s="56">
        <v>5</v>
      </c>
    </row>
    <row r="199" spans="1:29" x14ac:dyDescent="0.25">
      <c r="A199" s="37" t="s">
        <v>394</v>
      </c>
      <c r="B199" s="38" t="s">
        <v>681</v>
      </c>
      <c r="C199" s="38"/>
      <c r="D199" s="38" t="s">
        <v>682</v>
      </c>
      <c r="E199" s="38" t="s">
        <v>683</v>
      </c>
      <c r="F199" s="33">
        <v>10</v>
      </c>
      <c r="G199" s="33">
        <v>10</v>
      </c>
      <c r="H199" s="33">
        <f t="shared" si="16"/>
        <v>100</v>
      </c>
      <c r="I199" s="31" t="s">
        <v>88</v>
      </c>
      <c r="J199" s="30">
        <v>63</v>
      </c>
      <c r="K199" s="30">
        <v>226.78</v>
      </c>
      <c r="L199" s="31" t="s">
        <v>680</v>
      </c>
      <c r="M199" s="30">
        <f t="shared" si="17"/>
        <v>630</v>
      </c>
      <c r="N199" s="50">
        <v>40</v>
      </c>
      <c r="O199" s="117"/>
      <c r="P199" s="117"/>
      <c r="Q199" s="117">
        <f t="shared" si="13"/>
        <v>630</v>
      </c>
      <c r="R199" s="30">
        <f t="shared" si="18"/>
        <v>450.00000000000006</v>
      </c>
      <c r="S199" s="83"/>
      <c r="T199" s="83"/>
      <c r="U199" s="83"/>
      <c r="V199" s="32" t="s">
        <v>64</v>
      </c>
      <c r="W199" s="33">
        <v>36</v>
      </c>
      <c r="X199" s="30"/>
      <c r="Y199" s="34">
        <f t="shared" si="14"/>
        <v>0</v>
      </c>
      <c r="Z199" s="55"/>
      <c r="AA199" s="9" t="s">
        <v>550</v>
      </c>
      <c r="AB199" s="56">
        <v>30049099</v>
      </c>
      <c r="AC199" s="56">
        <v>5</v>
      </c>
    </row>
    <row r="200" spans="1:29" x14ac:dyDescent="0.25">
      <c r="A200" s="37" t="s">
        <v>394</v>
      </c>
      <c r="B200" s="38" t="s">
        <v>684</v>
      </c>
      <c r="C200" s="38"/>
      <c r="D200" s="38" t="s">
        <v>685</v>
      </c>
      <c r="E200" s="38" t="s">
        <v>686</v>
      </c>
      <c r="F200" s="33">
        <v>10</v>
      </c>
      <c r="G200" s="33">
        <v>10</v>
      </c>
      <c r="H200" s="33">
        <f t="shared" si="16"/>
        <v>100</v>
      </c>
      <c r="I200" s="31" t="s">
        <v>46</v>
      </c>
      <c r="J200" s="30">
        <v>40</v>
      </c>
      <c r="K200" s="30">
        <v>257.81</v>
      </c>
      <c r="L200" s="31" t="s">
        <v>687</v>
      </c>
      <c r="M200" s="30">
        <f t="shared" si="17"/>
        <v>400</v>
      </c>
      <c r="N200" s="50">
        <v>70</v>
      </c>
      <c r="O200" s="117"/>
      <c r="P200" s="117"/>
      <c r="Q200" s="117">
        <f t="shared" ref="Q200:Q263" si="19">M200-O200-P200</f>
        <v>400</v>
      </c>
      <c r="R200" s="30">
        <f t="shared" si="18"/>
        <v>235.29411764705884</v>
      </c>
      <c r="S200" s="83"/>
      <c r="T200" s="83"/>
      <c r="U200" s="83"/>
      <c r="V200" s="32" t="s">
        <v>64</v>
      </c>
      <c r="W200" s="33">
        <v>84</v>
      </c>
      <c r="X200" s="30"/>
      <c r="Y200" s="34">
        <f t="shared" ref="Y200:Y266" si="20">(X200*R200)/100000</f>
        <v>0</v>
      </c>
      <c r="Z200" s="55"/>
      <c r="AA200" s="9" t="s">
        <v>550</v>
      </c>
      <c r="AB200" s="56">
        <v>30049099</v>
      </c>
      <c r="AC200" s="56">
        <v>5</v>
      </c>
    </row>
    <row r="201" spans="1:29" x14ac:dyDescent="0.25">
      <c r="A201" s="37" t="s">
        <v>394</v>
      </c>
      <c r="B201" s="38" t="s">
        <v>688</v>
      </c>
      <c r="C201" s="38"/>
      <c r="D201" s="38" t="s">
        <v>689</v>
      </c>
      <c r="E201" s="38" t="s">
        <v>690</v>
      </c>
      <c r="F201" s="33">
        <v>10</v>
      </c>
      <c r="G201" s="33">
        <v>10</v>
      </c>
      <c r="H201" s="33">
        <f t="shared" si="16"/>
        <v>100</v>
      </c>
      <c r="I201" s="31" t="s">
        <v>46</v>
      </c>
      <c r="J201" s="30">
        <v>40</v>
      </c>
      <c r="K201" s="30">
        <v>332.81</v>
      </c>
      <c r="L201" s="31" t="s">
        <v>687</v>
      </c>
      <c r="M201" s="30">
        <f t="shared" si="17"/>
        <v>400</v>
      </c>
      <c r="N201" s="50">
        <v>50</v>
      </c>
      <c r="O201" s="117"/>
      <c r="P201" s="117"/>
      <c r="Q201" s="117">
        <f t="shared" si="19"/>
        <v>400</v>
      </c>
      <c r="R201" s="30">
        <f t="shared" si="18"/>
        <v>266.66666666666669</v>
      </c>
      <c r="S201" s="83"/>
      <c r="T201" s="83"/>
      <c r="U201" s="83"/>
      <c r="V201" s="32" t="s">
        <v>64</v>
      </c>
      <c r="W201" s="33">
        <v>84</v>
      </c>
      <c r="X201" s="30"/>
      <c r="Y201" s="34">
        <f t="shared" si="20"/>
        <v>0</v>
      </c>
      <c r="Z201" s="55"/>
      <c r="AA201" s="9" t="s">
        <v>550</v>
      </c>
      <c r="AB201" s="56">
        <v>30049099</v>
      </c>
      <c r="AC201" s="56">
        <v>5</v>
      </c>
    </row>
    <row r="202" spans="1:29" x14ac:dyDescent="0.25">
      <c r="A202" s="37" t="s">
        <v>394</v>
      </c>
      <c r="B202" s="38" t="s">
        <v>691</v>
      </c>
      <c r="C202" s="38"/>
      <c r="D202" s="38" t="s">
        <v>692</v>
      </c>
      <c r="E202" s="38" t="s">
        <v>693</v>
      </c>
      <c r="F202" s="33">
        <v>10</v>
      </c>
      <c r="G202" s="33">
        <v>10</v>
      </c>
      <c r="H202" s="33">
        <f t="shared" si="16"/>
        <v>100</v>
      </c>
      <c r="I202" s="31" t="s">
        <v>88</v>
      </c>
      <c r="J202" s="30">
        <v>47.25</v>
      </c>
      <c r="K202" s="30">
        <v>167.16</v>
      </c>
      <c r="L202" s="31" t="s">
        <v>680</v>
      </c>
      <c r="M202" s="30">
        <f t="shared" si="17"/>
        <v>472.5</v>
      </c>
      <c r="N202" s="50">
        <v>20</v>
      </c>
      <c r="O202" s="117"/>
      <c r="P202" s="117"/>
      <c r="Q202" s="117">
        <f t="shared" si="19"/>
        <v>472.5</v>
      </c>
      <c r="R202" s="30">
        <f t="shared" si="18"/>
        <v>393.75</v>
      </c>
      <c r="S202" s="83"/>
      <c r="T202" s="83"/>
      <c r="U202" s="83"/>
      <c r="V202" s="32" t="s">
        <v>64</v>
      </c>
      <c r="W202" s="33">
        <v>40</v>
      </c>
      <c r="X202" s="30"/>
      <c r="Y202" s="34">
        <f t="shared" si="20"/>
        <v>0</v>
      </c>
      <c r="Z202" s="55"/>
      <c r="AA202" s="9" t="s">
        <v>550</v>
      </c>
      <c r="AB202" s="56">
        <v>30042062</v>
      </c>
      <c r="AC202" s="56">
        <v>5</v>
      </c>
    </row>
    <row r="203" spans="1:29" x14ac:dyDescent="0.25">
      <c r="A203" s="37" t="s">
        <v>394</v>
      </c>
      <c r="B203" s="38" t="s">
        <v>694</v>
      </c>
      <c r="C203" s="38"/>
      <c r="D203" s="38" t="s">
        <v>695</v>
      </c>
      <c r="E203" s="38" t="s">
        <v>696</v>
      </c>
      <c r="F203" s="33">
        <v>10</v>
      </c>
      <c r="G203" s="33">
        <v>10</v>
      </c>
      <c r="H203" s="33">
        <f t="shared" si="16"/>
        <v>100</v>
      </c>
      <c r="I203" s="31" t="s">
        <v>88</v>
      </c>
      <c r="J203" s="30">
        <v>63</v>
      </c>
      <c r="K203" s="30">
        <v>238.97</v>
      </c>
      <c r="L203" s="31" t="s">
        <v>680</v>
      </c>
      <c r="M203" s="30">
        <f t="shared" si="17"/>
        <v>630</v>
      </c>
      <c r="N203" s="50">
        <v>40</v>
      </c>
      <c r="O203" s="117"/>
      <c r="P203" s="117"/>
      <c r="Q203" s="117">
        <f t="shared" si="19"/>
        <v>630</v>
      </c>
      <c r="R203" s="30">
        <f t="shared" si="18"/>
        <v>450.00000000000006</v>
      </c>
      <c r="S203" s="83"/>
      <c r="T203" s="83"/>
      <c r="U203" s="83"/>
      <c r="V203" s="32" t="s">
        <v>64</v>
      </c>
      <c r="W203" s="33">
        <v>50</v>
      </c>
      <c r="X203" s="30"/>
      <c r="Y203" s="34">
        <f t="shared" si="20"/>
        <v>0</v>
      </c>
      <c r="Z203" s="55"/>
      <c r="AA203" s="9" t="s">
        <v>550</v>
      </c>
      <c r="AB203" s="56">
        <v>30042062</v>
      </c>
      <c r="AC203" s="56">
        <v>5</v>
      </c>
    </row>
    <row r="204" spans="1:29" x14ac:dyDescent="0.25">
      <c r="A204" s="37" t="s">
        <v>394</v>
      </c>
      <c r="B204" s="38" t="s">
        <v>697</v>
      </c>
      <c r="C204" s="38"/>
      <c r="D204" s="38" t="s">
        <v>698</v>
      </c>
      <c r="E204" s="38" t="s">
        <v>699</v>
      </c>
      <c r="F204" s="33">
        <v>20</v>
      </c>
      <c r="G204" s="33">
        <v>10</v>
      </c>
      <c r="H204" s="33">
        <f t="shared" si="16"/>
        <v>200</v>
      </c>
      <c r="I204" s="31" t="s">
        <v>46</v>
      </c>
      <c r="J204" s="30">
        <v>25.91</v>
      </c>
      <c r="K204" s="30">
        <v>124.88</v>
      </c>
      <c r="L204" s="31" t="s">
        <v>59</v>
      </c>
      <c r="M204" s="30">
        <f t="shared" si="17"/>
        <v>518.20000000000005</v>
      </c>
      <c r="N204" s="50">
        <v>15</v>
      </c>
      <c r="O204" s="117"/>
      <c r="P204" s="117"/>
      <c r="Q204" s="117">
        <f t="shared" si="19"/>
        <v>518.20000000000005</v>
      </c>
      <c r="R204" s="30">
        <f t="shared" si="18"/>
        <v>450.60869565217399</v>
      </c>
      <c r="S204" s="83"/>
      <c r="T204" s="83"/>
      <c r="U204" s="83"/>
      <c r="V204" s="32" t="s">
        <v>64</v>
      </c>
      <c r="W204" s="33">
        <v>64</v>
      </c>
      <c r="X204" s="30"/>
      <c r="Y204" s="34">
        <f t="shared" si="20"/>
        <v>0</v>
      </c>
      <c r="Z204" s="55"/>
      <c r="AA204" s="9"/>
      <c r="AB204" s="56">
        <v>30049099</v>
      </c>
      <c r="AC204" s="56">
        <v>5</v>
      </c>
    </row>
    <row r="205" spans="1:29" x14ac:dyDescent="0.25">
      <c r="A205" s="37" t="s">
        <v>394</v>
      </c>
      <c r="B205" s="38" t="s">
        <v>700</v>
      </c>
      <c r="C205" s="38"/>
      <c r="D205" s="38" t="s">
        <v>701</v>
      </c>
      <c r="E205" s="38" t="s">
        <v>702</v>
      </c>
      <c r="F205" s="33">
        <v>1</v>
      </c>
      <c r="G205" s="33">
        <v>1</v>
      </c>
      <c r="H205" s="33">
        <f t="shared" si="16"/>
        <v>1</v>
      </c>
      <c r="I205" s="31" t="s">
        <v>315</v>
      </c>
      <c r="J205" s="30">
        <v>13.75</v>
      </c>
      <c r="K205" s="30">
        <v>62.34</v>
      </c>
      <c r="L205" s="31" t="s">
        <v>315</v>
      </c>
      <c r="M205" s="30">
        <f t="shared" si="17"/>
        <v>13.75</v>
      </c>
      <c r="N205" s="50">
        <v>0</v>
      </c>
      <c r="O205" s="117"/>
      <c r="P205" s="117"/>
      <c r="Q205" s="117">
        <f t="shared" si="19"/>
        <v>13.75</v>
      </c>
      <c r="R205" s="30">
        <f t="shared" si="18"/>
        <v>13.75</v>
      </c>
      <c r="S205" s="83"/>
      <c r="T205" s="83"/>
      <c r="U205" s="83"/>
      <c r="V205" s="32" t="s">
        <v>64</v>
      </c>
      <c r="W205" s="33">
        <v>120</v>
      </c>
      <c r="X205" s="30"/>
      <c r="Y205" s="34">
        <f t="shared" si="20"/>
        <v>0</v>
      </c>
      <c r="Z205" s="55"/>
      <c r="AA205" s="9"/>
      <c r="AB205" s="56">
        <v>30032000</v>
      </c>
      <c r="AC205" s="56">
        <v>5</v>
      </c>
    </row>
    <row r="206" spans="1:29" x14ac:dyDescent="0.25">
      <c r="A206" s="37" t="s">
        <v>394</v>
      </c>
      <c r="B206" s="38" t="s">
        <v>703</v>
      </c>
      <c r="C206" s="38"/>
      <c r="D206" s="38" t="s">
        <v>701</v>
      </c>
      <c r="E206" s="38" t="s">
        <v>702</v>
      </c>
      <c r="F206" s="33">
        <v>1</v>
      </c>
      <c r="G206" s="33">
        <v>1</v>
      </c>
      <c r="H206" s="33">
        <f t="shared" si="16"/>
        <v>1</v>
      </c>
      <c r="I206" s="31" t="s">
        <v>704</v>
      </c>
      <c r="J206" s="30">
        <v>60.640000000000008</v>
      </c>
      <c r="K206" s="30">
        <v>268.08</v>
      </c>
      <c r="L206" s="31" t="s">
        <v>705</v>
      </c>
      <c r="M206" s="30">
        <f t="shared" si="17"/>
        <v>60.640000000000008</v>
      </c>
      <c r="N206" s="50">
        <v>0</v>
      </c>
      <c r="O206" s="117"/>
      <c r="P206" s="117"/>
      <c r="Q206" s="117">
        <f t="shared" si="19"/>
        <v>60.640000000000008</v>
      </c>
      <c r="R206" s="30">
        <f t="shared" si="18"/>
        <v>60.640000000000008</v>
      </c>
      <c r="S206" s="83"/>
      <c r="T206" s="83"/>
      <c r="U206" s="83"/>
      <c r="V206" s="32" t="s">
        <v>64</v>
      </c>
      <c r="W206" s="33">
        <v>12</v>
      </c>
      <c r="X206" s="30"/>
      <c r="Y206" s="34">
        <f t="shared" si="20"/>
        <v>0</v>
      </c>
      <c r="Z206" s="55"/>
      <c r="AA206" s="9"/>
      <c r="AB206" s="56">
        <v>30032000</v>
      </c>
      <c r="AC206" s="56">
        <v>5</v>
      </c>
    </row>
    <row r="207" spans="1:29" x14ac:dyDescent="0.25">
      <c r="A207" s="37" t="s">
        <v>394</v>
      </c>
      <c r="B207" s="38" t="s">
        <v>706</v>
      </c>
      <c r="C207" s="38"/>
      <c r="D207" s="38" t="s">
        <v>707</v>
      </c>
      <c r="E207" s="38" t="s">
        <v>708</v>
      </c>
      <c r="F207" s="33">
        <v>50</v>
      </c>
      <c r="G207" s="33">
        <v>10</v>
      </c>
      <c r="H207" s="33">
        <f t="shared" si="16"/>
        <v>500</v>
      </c>
      <c r="I207" s="31" t="s">
        <v>46</v>
      </c>
      <c r="J207" s="30">
        <v>6.5</v>
      </c>
      <c r="K207" s="30">
        <v>9.51</v>
      </c>
      <c r="L207" s="31" t="s">
        <v>709</v>
      </c>
      <c r="M207" s="30">
        <f t="shared" si="17"/>
        <v>325</v>
      </c>
      <c r="N207" s="36">
        <v>30</v>
      </c>
      <c r="O207" s="99"/>
      <c r="P207" s="99"/>
      <c r="Q207" s="117">
        <f t="shared" si="19"/>
        <v>325</v>
      </c>
      <c r="R207" s="30">
        <f t="shared" si="18"/>
        <v>250</v>
      </c>
      <c r="S207" s="83">
        <v>235</v>
      </c>
      <c r="T207" s="83">
        <v>258.5</v>
      </c>
      <c r="U207" s="83">
        <v>270.25</v>
      </c>
      <c r="V207" s="32"/>
      <c r="W207" s="33">
        <v>15</v>
      </c>
      <c r="X207" s="30"/>
      <c r="Y207" s="34">
        <f t="shared" si="20"/>
        <v>0</v>
      </c>
      <c r="Z207" s="55"/>
      <c r="AA207" s="9"/>
      <c r="AB207" s="56">
        <v>30049099</v>
      </c>
      <c r="AC207" s="56">
        <v>5</v>
      </c>
    </row>
    <row r="208" spans="1:29" x14ac:dyDescent="0.25">
      <c r="A208" s="37" t="s">
        <v>394</v>
      </c>
      <c r="B208" s="38" t="s">
        <v>710</v>
      </c>
      <c r="C208" s="38"/>
      <c r="D208" s="38" t="s">
        <v>711</v>
      </c>
      <c r="E208" s="38" t="s">
        <v>712</v>
      </c>
      <c r="F208" s="33">
        <v>30</v>
      </c>
      <c r="G208" s="33">
        <v>15</v>
      </c>
      <c r="H208" s="33">
        <f t="shared" si="16"/>
        <v>450</v>
      </c>
      <c r="I208" s="31" t="s">
        <v>112</v>
      </c>
      <c r="J208" s="30">
        <v>12.75</v>
      </c>
      <c r="K208" s="30">
        <v>27.52</v>
      </c>
      <c r="L208" s="31" t="s">
        <v>713</v>
      </c>
      <c r="M208" s="30">
        <f t="shared" si="17"/>
        <v>382.5</v>
      </c>
      <c r="N208" s="36">
        <v>45</v>
      </c>
      <c r="O208" s="99"/>
      <c r="P208" s="99"/>
      <c r="Q208" s="117">
        <f t="shared" si="19"/>
        <v>382.5</v>
      </c>
      <c r="R208" s="30">
        <f t="shared" si="18"/>
        <v>263.79310344827587</v>
      </c>
      <c r="S208" s="83"/>
      <c r="T208" s="83"/>
      <c r="U208" s="83"/>
      <c r="V208" s="32" t="s">
        <v>64</v>
      </c>
      <c r="W208" s="33">
        <v>27</v>
      </c>
      <c r="X208" s="30"/>
      <c r="Y208" s="34">
        <f t="shared" si="20"/>
        <v>0</v>
      </c>
      <c r="Z208" s="55"/>
      <c r="AA208" s="9"/>
      <c r="AB208" s="56">
        <v>30049061</v>
      </c>
      <c r="AC208" s="56">
        <v>5</v>
      </c>
    </row>
    <row r="209" spans="1:29" x14ac:dyDescent="0.25">
      <c r="A209" s="37" t="s">
        <v>394</v>
      </c>
      <c r="B209" s="38" t="s">
        <v>714</v>
      </c>
      <c r="C209" s="38"/>
      <c r="D209" s="38" t="s">
        <v>715</v>
      </c>
      <c r="E209" s="38" t="s">
        <v>716</v>
      </c>
      <c r="F209" s="33">
        <v>20</v>
      </c>
      <c r="G209" s="33">
        <v>10</v>
      </c>
      <c r="H209" s="33">
        <f t="shared" si="16"/>
        <v>200</v>
      </c>
      <c r="I209" s="31" t="s">
        <v>88</v>
      </c>
      <c r="J209" s="30">
        <v>28.12</v>
      </c>
      <c r="K209" s="30">
        <v>58.83</v>
      </c>
      <c r="L209" s="31" t="s">
        <v>717</v>
      </c>
      <c r="M209" s="30">
        <f t="shared" si="17"/>
        <v>562.4</v>
      </c>
      <c r="N209" s="50">
        <v>5</v>
      </c>
      <c r="O209" s="117"/>
      <c r="P209" s="117"/>
      <c r="Q209" s="117">
        <f t="shared" si="19"/>
        <v>562.4</v>
      </c>
      <c r="R209" s="30">
        <f t="shared" ref="R209:R221" si="21">M209/(1+N209%)</f>
        <v>535.61904761904759</v>
      </c>
      <c r="S209" s="83"/>
      <c r="T209" s="83"/>
      <c r="U209" s="83"/>
      <c r="V209" s="32" t="s">
        <v>64</v>
      </c>
      <c r="W209" s="33">
        <v>50</v>
      </c>
      <c r="X209" s="30"/>
      <c r="Y209" s="34">
        <f t="shared" si="20"/>
        <v>0</v>
      </c>
      <c r="Z209" s="55"/>
      <c r="AA209" s="9"/>
      <c r="AB209" s="56">
        <v>30049099</v>
      </c>
      <c r="AC209" s="56">
        <v>5</v>
      </c>
    </row>
    <row r="210" spans="1:29" x14ac:dyDescent="0.25">
      <c r="A210" s="37" t="s">
        <v>394</v>
      </c>
      <c r="B210" s="38" t="s">
        <v>718</v>
      </c>
      <c r="C210" s="38"/>
      <c r="D210" s="38" t="s">
        <v>719</v>
      </c>
      <c r="E210" s="38" t="s">
        <v>720</v>
      </c>
      <c r="F210" s="33">
        <v>1</v>
      </c>
      <c r="G210" s="33">
        <v>1</v>
      </c>
      <c r="H210" s="33">
        <f t="shared" si="16"/>
        <v>1</v>
      </c>
      <c r="I210" s="31" t="s">
        <v>83</v>
      </c>
      <c r="J210" s="30">
        <v>100</v>
      </c>
      <c r="K210" s="30">
        <v>426.67</v>
      </c>
      <c r="L210" s="31" t="s">
        <v>721</v>
      </c>
      <c r="M210" s="30">
        <f t="shared" si="17"/>
        <v>100</v>
      </c>
      <c r="N210" s="50">
        <v>45</v>
      </c>
      <c r="O210" s="117"/>
      <c r="P210" s="117"/>
      <c r="Q210" s="117">
        <f t="shared" si="19"/>
        <v>100</v>
      </c>
      <c r="R210" s="30">
        <f t="shared" si="21"/>
        <v>68.965517241379317</v>
      </c>
      <c r="S210" s="83"/>
      <c r="T210" s="83"/>
      <c r="U210" s="83"/>
      <c r="V210" s="32" t="s">
        <v>64</v>
      </c>
      <c r="W210" s="33">
        <v>120</v>
      </c>
      <c r="X210" s="30"/>
      <c r="Y210" s="34">
        <f t="shared" si="20"/>
        <v>0</v>
      </c>
      <c r="Z210" s="55"/>
      <c r="AA210" s="9"/>
      <c r="AB210" s="56">
        <v>30042099</v>
      </c>
      <c r="AC210" s="56">
        <v>5</v>
      </c>
    </row>
    <row r="211" spans="1:29" x14ac:dyDescent="0.25">
      <c r="A211" s="37" t="s">
        <v>394</v>
      </c>
      <c r="B211" s="61" t="s">
        <v>722</v>
      </c>
      <c r="C211" s="61"/>
      <c r="D211" s="61" t="s">
        <v>723</v>
      </c>
      <c r="E211" s="38" t="s">
        <v>724</v>
      </c>
      <c r="F211" s="33">
        <v>10</v>
      </c>
      <c r="G211" s="33">
        <v>10</v>
      </c>
      <c r="H211" s="33">
        <f t="shared" si="16"/>
        <v>100</v>
      </c>
      <c r="I211" s="31" t="s">
        <v>46</v>
      </c>
      <c r="J211" s="30">
        <v>10</v>
      </c>
      <c r="K211" s="30">
        <v>115.61</v>
      </c>
      <c r="L211" s="31" t="s">
        <v>670</v>
      </c>
      <c r="M211" s="30">
        <f t="shared" si="17"/>
        <v>100</v>
      </c>
      <c r="N211" s="50">
        <v>20</v>
      </c>
      <c r="O211" s="117"/>
      <c r="P211" s="117"/>
      <c r="Q211" s="117">
        <f t="shared" si="19"/>
        <v>100</v>
      </c>
      <c r="R211" s="30">
        <f t="shared" si="21"/>
        <v>83.333333333333343</v>
      </c>
      <c r="S211" s="83"/>
      <c r="T211" s="83"/>
      <c r="U211" s="83"/>
      <c r="V211" s="32" t="s">
        <v>64</v>
      </c>
      <c r="W211" s="33">
        <v>56</v>
      </c>
      <c r="X211" s="30"/>
      <c r="Y211" s="34">
        <f t="shared" si="20"/>
        <v>0</v>
      </c>
      <c r="Z211" s="55"/>
      <c r="AA211" s="9"/>
      <c r="AB211" s="56">
        <v>30049099</v>
      </c>
      <c r="AC211" s="56">
        <v>5</v>
      </c>
    </row>
    <row r="212" spans="1:29" x14ac:dyDescent="0.25">
      <c r="A212" s="37" t="s">
        <v>394</v>
      </c>
      <c r="B212" s="38" t="s">
        <v>725</v>
      </c>
      <c r="C212" s="38"/>
      <c r="D212" s="38" t="s">
        <v>726</v>
      </c>
      <c r="E212" s="38" t="s">
        <v>727</v>
      </c>
      <c r="F212" s="33">
        <v>15</v>
      </c>
      <c r="G212" s="33">
        <v>10</v>
      </c>
      <c r="H212" s="33">
        <f t="shared" si="16"/>
        <v>150</v>
      </c>
      <c r="I212" s="31" t="s">
        <v>46</v>
      </c>
      <c r="J212" s="30">
        <v>20.5</v>
      </c>
      <c r="K212" s="30">
        <v>101.01</v>
      </c>
      <c r="L212" s="31" t="s">
        <v>571</v>
      </c>
      <c r="M212" s="30">
        <f t="shared" si="17"/>
        <v>307.5</v>
      </c>
      <c r="N212" s="50">
        <v>10</v>
      </c>
      <c r="O212" s="117"/>
      <c r="P212" s="117"/>
      <c r="Q212" s="117">
        <f t="shared" si="19"/>
        <v>307.5</v>
      </c>
      <c r="R212" s="30">
        <f t="shared" si="21"/>
        <v>279.5454545454545</v>
      </c>
      <c r="S212" s="83"/>
      <c r="T212" s="83"/>
      <c r="U212" s="83"/>
      <c r="V212" s="32" t="s">
        <v>64</v>
      </c>
      <c r="W212" s="33">
        <v>32</v>
      </c>
      <c r="X212" s="30"/>
      <c r="Y212" s="34">
        <f t="shared" si="20"/>
        <v>0</v>
      </c>
      <c r="Z212" s="55"/>
      <c r="AA212" s="9"/>
      <c r="AB212" s="56">
        <v>30049099</v>
      </c>
      <c r="AC212" s="56">
        <v>5</v>
      </c>
    </row>
    <row r="213" spans="1:29" x14ac:dyDescent="0.25">
      <c r="A213" s="37" t="s">
        <v>394</v>
      </c>
      <c r="B213" s="38" t="s">
        <v>728</v>
      </c>
      <c r="C213" s="38"/>
      <c r="D213" s="38" t="s">
        <v>729</v>
      </c>
      <c r="E213" s="38" t="s">
        <v>730</v>
      </c>
      <c r="F213" s="33">
        <v>15</v>
      </c>
      <c r="G213" s="33">
        <v>10</v>
      </c>
      <c r="H213" s="33">
        <f t="shared" si="16"/>
        <v>150</v>
      </c>
      <c r="I213" s="31" t="s">
        <v>46</v>
      </c>
      <c r="J213" s="30">
        <v>25</v>
      </c>
      <c r="K213" s="30">
        <v>114.13</v>
      </c>
      <c r="L213" s="31" t="s">
        <v>571</v>
      </c>
      <c r="M213" s="30">
        <f t="shared" si="17"/>
        <v>375</v>
      </c>
      <c r="N213" s="50">
        <v>10</v>
      </c>
      <c r="O213" s="117"/>
      <c r="P213" s="117"/>
      <c r="Q213" s="117">
        <f t="shared" si="19"/>
        <v>375</v>
      </c>
      <c r="R213" s="30">
        <f t="shared" si="21"/>
        <v>340.90909090909088</v>
      </c>
      <c r="S213" s="83"/>
      <c r="T213" s="83"/>
      <c r="U213" s="83"/>
      <c r="V213" s="32" t="s">
        <v>64</v>
      </c>
      <c r="W213" s="33">
        <v>24</v>
      </c>
      <c r="X213" s="30"/>
      <c r="Y213" s="34">
        <f t="shared" si="20"/>
        <v>0</v>
      </c>
      <c r="Z213" s="55"/>
      <c r="AA213" s="9"/>
      <c r="AB213" s="56">
        <v>30049099</v>
      </c>
      <c r="AC213" s="56">
        <v>5</v>
      </c>
    </row>
    <row r="214" spans="1:29" x14ac:dyDescent="0.25">
      <c r="A214" s="37" t="s">
        <v>394</v>
      </c>
      <c r="B214" s="38" t="s">
        <v>731</v>
      </c>
      <c r="C214" s="38"/>
      <c r="D214" s="38" t="s">
        <v>732</v>
      </c>
      <c r="E214" s="38" t="s">
        <v>733</v>
      </c>
      <c r="F214" s="33">
        <v>10</v>
      </c>
      <c r="G214" s="33">
        <v>14</v>
      </c>
      <c r="H214" s="33">
        <f t="shared" si="16"/>
        <v>140</v>
      </c>
      <c r="I214" s="31" t="s">
        <v>734</v>
      </c>
      <c r="J214" s="30">
        <v>132.30000000000001</v>
      </c>
      <c r="K214" s="30">
        <v>268.5</v>
      </c>
      <c r="L214" s="31" t="s">
        <v>735</v>
      </c>
      <c r="M214" s="30">
        <f t="shared" si="17"/>
        <v>1323</v>
      </c>
      <c r="N214" s="50">
        <v>90</v>
      </c>
      <c r="O214" s="117"/>
      <c r="P214" s="117"/>
      <c r="Q214" s="117">
        <f t="shared" si="19"/>
        <v>1323</v>
      </c>
      <c r="R214" s="30">
        <f t="shared" si="21"/>
        <v>696.31578947368428</v>
      </c>
      <c r="S214" s="83"/>
      <c r="T214" s="83"/>
      <c r="U214" s="83"/>
      <c r="V214" s="32" t="s">
        <v>64</v>
      </c>
      <c r="W214" s="33">
        <v>36</v>
      </c>
      <c r="X214" s="30"/>
      <c r="Y214" s="34">
        <f t="shared" si="20"/>
        <v>0</v>
      </c>
      <c r="Z214" s="55"/>
      <c r="AA214" s="9" t="s">
        <v>550</v>
      </c>
      <c r="AB214" s="56">
        <v>30049099</v>
      </c>
      <c r="AC214" s="56">
        <v>5</v>
      </c>
    </row>
    <row r="215" spans="1:29" x14ac:dyDescent="0.25">
      <c r="A215" s="37" t="s">
        <v>394</v>
      </c>
      <c r="B215" s="38" t="s">
        <v>736</v>
      </c>
      <c r="C215" s="38"/>
      <c r="D215" s="38" t="s">
        <v>737</v>
      </c>
      <c r="E215" s="38" t="s">
        <v>738</v>
      </c>
      <c r="F215" s="33">
        <v>20</v>
      </c>
      <c r="G215" s="33">
        <v>10</v>
      </c>
      <c r="H215" s="33">
        <f t="shared" si="16"/>
        <v>200</v>
      </c>
      <c r="I215" s="31" t="s">
        <v>46</v>
      </c>
      <c r="J215" s="30">
        <v>6.99</v>
      </c>
      <c r="K215" s="30">
        <v>26.63</v>
      </c>
      <c r="L215" s="31" t="s">
        <v>59</v>
      </c>
      <c r="M215" s="30">
        <f t="shared" si="17"/>
        <v>139.80000000000001</v>
      </c>
      <c r="N215" s="50">
        <v>0</v>
      </c>
      <c r="O215" s="117"/>
      <c r="P215" s="117"/>
      <c r="Q215" s="117">
        <f t="shared" si="19"/>
        <v>139.80000000000001</v>
      </c>
      <c r="R215" s="30">
        <f t="shared" si="21"/>
        <v>139.80000000000001</v>
      </c>
      <c r="S215" s="83">
        <v>146.6</v>
      </c>
      <c r="T215" s="83">
        <v>161.26</v>
      </c>
      <c r="U215" s="83">
        <v>168.59</v>
      </c>
      <c r="V215" s="32"/>
      <c r="W215" s="33">
        <v>50</v>
      </c>
      <c r="X215" s="30"/>
      <c r="Y215" s="34">
        <f t="shared" si="20"/>
        <v>0</v>
      </c>
      <c r="Z215" s="55"/>
      <c r="AA215" s="9"/>
      <c r="AB215" s="56">
        <v>30042062</v>
      </c>
      <c r="AC215" s="56">
        <v>5</v>
      </c>
    </row>
    <row r="216" spans="1:29" x14ac:dyDescent="0.25">
      <c r="A216" s="37" t="s">
        <v>394</v>
      </c>
      <c r="B216" s="38" t="s">
        <v>739</v>
      </c>
      <c r="C216" s="38"/>
      <c r="D216" s="38" t="s">
        <v>740</v>
      </c>
      <c r="E216" s="38" t="s">
        <v>741</v>
      </c>
      <c r="F216" s="33">
        <v>15</v>
      </c>
      <c r="G216" s="33">
        <v>10</v>
      </c>
      <c r="H216" s="33">
        <f t="shared" si="16"/>
        <v>150</v>
      </c>
      <c r="I216" s="31" t="s">
        <v>46</v>
      </c>
      <c r="J216" s="30">
        <v>10.59</v>
      </c>
      <c r="K216" s="30">
        <v>62.86</v>
      </c>
      <c r="L216" s="31" t="s">
        <v>742</v>
      </c>
      <c r="M216" s="30">
        <f t="shared" si="17"/>
        <v>158.85</v>
      </c>
      <c r="N216" s="50">
        <v>0</v>
      </c>
      <c r="O216" s="117"/>
      <c r="P216" s="117"/>
      <c r="Q216" s="117">
        <f t="shared" si="19"/>
        <v>158.85</v>
      </c>
      <c r="R216" s="30">
        <f t="shared" si="21"/>
        <v>158.85</v>
      </c>
      <c r="S216" s="83"/>
      <c r="T216" s="83"/>
      <c r="U216" s="83"/>
      <c r="V216" s="32" t="s">
        <v>64</v>
      </c>
      <c r="W216" s="33">
        <v>63</v>
      </c>
      <c r="X216" s="30"/>
      <c r="Y216" s="34">
        <f t="shared" si="20"/>
        <v>0</v>
      </c>
      <c r="Z216" s="55"/>
      <c r="AA216" s="9"/>
      <c r="AB216" s="56">
        <v>30042062</v>
      </c>
      <c r="AC216" s="56">
        <v>5</v>
      </c>
    </row>
    <row r="217" spans="1:29" x14ac:dyDescent="0.25">
      <c r="A217" s="37" t="s">
        <v>394</v>
      </c>
      <c r="B217" s="38" t="s">
        <v>743</v>
      </c>
      <c r="C217" s="38"/>
      <c r="D217" s="38" t="s">
        <v>744</v>
      </c>
      <c r="E217" s="38" t="s">
        <v>745</v>
      </c>
      <c r="F217" s="33">
        <v>20</v>
      </c>
      <c r="G217" s="33">
        <v>15</v>
      </c>
      <c r="H217" s="33">
        <f>G217*F217</f>
        <v>300</v>
      </c>
      <c r="I217" s="31" t="s">
        <v>112</v>
      </c>
      <c r="J217" s="30">
        <v>18</v>
      </c>
      <c r="K217" s="30">
        <v>152.53</v>
      </c>
      <c r="L217" s="31" t="s">
        <v>746</v>
      </c>
      <c r="M217" s="30">
        <f t="shared" si="17"/>
        <v>360</v>
      </c>
      <c r="N217" s="50">
        <v>0</v>
      </c>
      <c r="O217" s="117"/>
      <c r="P217" s="117"/>
      <c r="Q217" s="117">
        <f t="shared" si="19"/>
        <v>360</v>
      </c>
      <c r="R217" s="30">
        <f t="shared" si="21"/>
        <v>360</v>
      </c>
      <c r="S217" s="83"/>
      <c r="T217" s="83"/>
      <c r="U217" s="83"/>
      <c r="V217" s="32" t="s">
        <v>64</v>
      </c>
      <c r="W217" s="33">
        <v>32</v>
      </c>
      <c r="X217" s="30"/>
      <c r="Y217" s="34">
        <f t="shared" si="20"/>
        <v>0</v>
      </c>
      <c r="Z217" s="55"/>
      <c r="AA217" s="9"/>
      <c r="AB217" s="56">
        <v>30049069</v>
      </c>
      <c r="AC217" s="56">
        <v>4.9999999999999991</v>
      </c>
    </row>
    <row r="218" spans="1:29" x14ac:dyDescent="0.25">
      <c r="A218" s="37" t="s">
        <v>394</v>
      </c>
      <c r="B218" s="38" t="s">
        <v>747</v>
      </c>
      <c r="C218" s="38"/>
      <c r="D218" s="38" t="s">
        <v>748</v>
      </c>
      <c r="E218" s="38" t="s">
        <v>749</v>
      </c>
      <c r="F218" s="33">
        <v>10</v>
      </c>
      <c r="G218" s="33">
        <v>15</v>
      </c>
      <c r="H218" s="33">
        <f>G218*F218</f>
        <v>150</v>
      </c>
      <c r="I218" s="31" t="s">
        <v>112</v>
      </c>
      <c r="J218" s="30">
        <v>24.310000000000002</v>
      </c>
      <c r="K218" s="30">
        <v>169.41</v>
      </c>
      <c r="L218" s="31" t="s">
        <v>386</v>
      </c>
      <c r="M218" s="30">
        <f t="shared" si="17"/>
        <v>243.10000000000002</v>
      </c>
      <c r="N218" s="50">
        <v>30</v>
      </c>
      <c r="O218" s="117"/>
      <c r="P218" s="117"/>
      <c r="Q218" s="117">
        <f t="shared" si="19"/>
        <v>243.10000000000002</v>
      </c>
      <c r="R218" s="30">
        <f t="shared" si="21"/>
        <v>187</v>
      </c>
      <c r="S218" s="83"/>
      <c r="T218" s="83"/>
      <c r="U218" s="83"/>
      <c r="V218" s="32" t="s">
        <v>64</v>
      </c>
      <c r="W218" s="33">
        <v>24</v>
      </c>
      <c r="X218" s="30"/>
      <c r="Y218" s="34">
        <f t="shared" si="20"/>
        <v>0</v>
      </c>
      <c r="Z218" s="55"/>
      <c r="AA218" s="9" t="s">
        <v>550</v>
      </c>
      <c r="AB218" s="56">
        <v>30049099</v>
      </c>
      <c r="AC218" s="56">
        <v>5</v>
      </c>
    </row>
    <row r="219" spans="1:29" x14ac:dyDescent="0.25">
      <c r="A219" s="37" t="s">
        <v>394</v>
      </c>
      <c r="B219" s="38" t="s">
        <v>750</v>
      </c>
      <c r="C219" s="38"/>
      <c r="D219" s="38" t="s">
        <v>751</v>
      </c>
      <c r="E219" s="38" t="s">
        <v>752</v>
      </c>
      <c r="F219" s="33">
        <v>10</v>
      </c>
      <c r="G219" s="33">
        <v>10</v>
      </c>
      <c r="H219" s="33">
        <f>G219*F219</f>
        <v>100</v>
      </c>
      <c r="I219" s="31" t="s">
        <v>46</v>
      </c>
      <c r="J219" s="30">
        <v>22.05</v>
      </c>
      <c r="K219" s="30">
        <v>141.69999999999999</v>
      </c>
      <c r="L219" s="31" t="s">
        <v>68</v>
      </c>
      <c r="M219" s="30">
        <f t="shared" si="17"/>
        <v>220.5</v>
      </c>
      <c r="N219" s="50">
        <v>10</v>
      </c>
      <c r="O219" s="117"/>
      <c r="P219" s="117"/>
      <c r="Q219" s="117">
        <f t="shared" si="19"/>
        <v>220.5</v>
      </c>
      <c r="R219" s="30">
        <f t="shared" si="21"/>
        <v>200.45454545454544</v>
      </c>
      <c r="S219" s="83"/>
      <c r="T219" s="83"/>
      <c r="U219" s="83"/>
      <c r="V219" s="32" t="s">
        <v>64</v>
      </c>
      <c r="W219" s="33">
        <v>40</v>
      </c>
      <c r="X219" s="30"/>
      <c r="Y219" s="34">
        <f t="shared" si="20"/>
        <v>0</v>
      </c>
      <c r="Z219" s="55"/>
      <c r="AA219" s="9" t="s">
        <v>550</v>
      </c>
      <c r="AB219" s="56">
        <v>30049099</v>
      </c>
      <c r="AC219" s="56">
        <v>5.0000000000000009</v>
      </c>
    </row>
    <row r="220" spans="1:29" x14ac:dyDescent="0.25">
      <c r="A220" s="37" t="s">
        <v>394</v>
      </c>
      <c r="B220" s="38" t="s">
        <v>753</v>
      </c>
      <c r="C220" s="38"/>
      <c r="D220" s="38" t="s">
        <v>754</v>
      </c>
      <c r="E220" s="38" t="s">
        <v>755</v>
      </c>
      <c r="F220" s="33">
        <v>20</v>
      </c>
      <c r="G220" s="33">
        <v>10</v>
      </c>
      <c r="H220" s="33">
        <f t="shared" si="16"/>
        <v>200</v>
      </c>
      <c r="I220" s="31" t="s">
        <v>46</v>
      </c>
      <c r="J220" s="30">
        <v>23.71</v>
      </c>
      <c r="K220" s="30">
        <v>39.47</v>
      </c>
      <c r="L220" s="31" t="s">
        <v>59</v>
      </c>
      <c r="M220" s="30">
        <f t="shared" si="17"/>
        <v>474.20000000000005</v>
      </c>
      <c r="N220" s="50">
        <v>0</v>
      </c>
      <c r="O220" s="117"/>
      <c r="P220" s="117"/>
      <c r="Q220" s="117">
        <f t="shared" si="19"/>
        <v>474.20000000000005</v>
      </c>
      <c r="R220" s="30">
        <f t="shared" si="21"/>
        <v>474.20000000000005</v>
      </c>
      <c r="S220" s="83">
        <v>497.8</v>
      </c>
      <c r="T220" s="83">
        <v>547.58000000000004</v>
      </c>
      <c r="U220" s="83">
        <v>572.47</v>
      </c>
      <c r="V220" s="32"/>
      <c r="W220" s="33">
        <v>48</v>
      </c>
      <c r="X220" s="30"/>
      <c r="Y220" s="34">
        <f t="shared" si="20"/>
        <v>0</v>
      </c>
      <c r="Z220" s="55"/>
      <c r="AA220" s="9"/>
      <c r="AB220" s="56">
        <v>30042070</v>
      </c>
      <c r="AC220" s="56">
        <v>5</v>
      </c>
    </row>
    <row r="221" spans="1:29" x14ac:dyDescent="0.25">
      <c r="A221" s="37" t="s">
        <v>394</v>
      </c>
      <c r="B221" s="38" t="s">
        <v>756</v>
      </c>
      <c r="C221" s="38"/>
      <c r="D221" s="38" t="s">
        <v>757</v>
      </c>
      <c r="E221" s="38" t="s">
        <v>758</v>
      </c>
      <c r="F221" s="33">
        <v>10</v>
      </c>
      <c r="G221" s="33">
        <v>10</v>
      </c>
      <c r="H221" s="33">
        <f t="shared" si="16"/>
        <v>100</v>
      </c>
      <c r="I221" s="31" t="s">
        <v>46</v>
      </c>
      <c r="J221" s="30">
        <v>45</v>
      </c>
      <c r="K221" s="36">
        <v>72.135604608000008</v>
      </c>
      <c r="L221" s="31" t="s">
        <v>68</v>
      </c>
      <c r="M221" s="30">
        <f t="shared" si="17"/>
        <v>450</v>
      </c>
      <c r="N221" s="50">
        <v>0</v>
      </c>
      <c r="O221" s="117"/>
      <c r="P221" s="117"/>
      <c r="Q221" s="117">
        <f t="shared" si="19"/>
        <v>450</v>
      </c>
      <c r="R221" s="30">
        <f t="shared" si="21"/>
        <v>450</v>
      </c>
      <c r="S221" s="83">
        <v>472.6</v>
      </c>
      <c r="T221" s="83">
        <v>519.86</v>
      </c>
      <c r="U221" s="83">
        <v>543.49</v>
      </c>
      <c r="V221" s="32"/>
      <c r="W221" s="33">
        <v>50</v>
      </c>
      <c r="X221" s="30"/>
      <c r="Y221" s="34">
        <f t="shared" si="20"/>
        <v>0</v>
      </c>
      <c r="Z221" s="55"/>
      <c r="AA221" s="9"/>
      <c r="AB221" s="56">
        <v>30042070</v>
      </c>
      <c r="AC221" s="56">
        <v>5</v>
      </c>
    </row>
    <row r="222" spans="1:29" x14ac:dyDescent="0.25">
      <c r="A222" s="37"/>
      <c r="B222" s="62" t="s">
        <v>759</v>
      </c>
      <c r="C222" s="62"/>
      <c r="D222" s="38"/>
      <c r="E222" s="54"/>
      <c r="F222" s="54"/>
      <c r="G222" s="54"/>
      <c r="H222" s="33">
        <f t="shared" si="16"/>
        <v>0</v>
      </c>
      <c r="I222" s="54"/>
      <c r="J222" s="30">
        <v>0</v>
      </c>
      <c r="K222" s="30">
        <v>0</v>
      </c>
      <c r="L222" s="31"/>
      <c r="M222" s="30"/>
      <c r="N222" s="50">
        <v>0</v>
      </c>
      <c r="O222" s="117"/>
      <c r="P222" s="117"/>
      <c r="Q222" s="117">
        <f t="shared" si="19"/>
        <v>0</v>
      </c>
      <c r="R222" s="30"/>
      <c r="S222" s="83"/>
      <c r="T222" s="83"/>
      <c r="U222" s="83"/>
      <c r="V222" s="32"/>
      <c r="W222" s="33">
        <v>0</v>
      </c>
      <c r="X222" s="30"/>
      <c r="Y222" s="34">
        <f t="shared" si="20"/>
        <v>0</v>
      </c>
      <c r="Z222" s="55"/>
      <c r="AA222" s="9"/>
      <c r="AB222" s="56"/>
      <c r="AC222" s="56"/>
    </row>
    <row r="223" spans="1:29" x14ac:dyDescent="0.25">
      <c r="A223" s="37" t="s">
        <v>760</v>
      </c>
      <c r="B223" s="38" t="s">
        <v>761</v>
      </c>
      <c r="C223" s="38"/>
      <c r="D223" s="38" t="s">
        <v>762</v>
      </c>
      <c r="E223" s="38" t="s">
        <v>763</v>
      </c>
      <c r="F223" s="33">
        <v>1</v>
      </c>
      <c r="G223" s="33">
        <v>1</v>
      </c>
      <c r="H223" s="33"/>
      <c r="I223" s="31" t="s">
        <v>764</v>
      </c>
      <c r="J223" s="30">
        <v>13.1</v>
      </c>
      <c r="K223" s="30">
        <v>82.14</v>
      </c>
      <c r="L223" s="31" t="s">
        <v>764</v>
      </c>
      <c r="M223" s="30">
        <f t="shared" ref="M223:M245" si="22">J223*F223</f>
        <v>13.1</v>
      </c>
      <c r="N223" s="50">
        <v>0</v>
      </c>
      <c r="O223" s="117"/>
      <c r="P223" s="117"/>
      <c r="Q223" s="117">
        <f t="shared" si="19"/>
        <v>13.1</v>
      </c>
      <c r="R223" s="30">
        <f t="shared" ref="R223:R245" si="23">M223/(1+N223%)</f>
        <v>13.1</v>
      </c>
      <c r="S223" s="83"/>
      <c r="T223" s="83"/>
      <c r="U223" s="83"/>
      <c r="V223" s="32" t="s">
        <v>64</v>
      </c>
      <c r="W223" s="33">
        <v>300</v>
      </c>
      <c r="X223" s="30"/>
      <c r="Y223" s="34">
        <f t="shared" si="20"/>
        <v>0</v>
      </c>
      <c r="Z223" s="55"/>
      <c r="AA223" s="9" t="s">
        <v>765</v>
      </c>
      <c r="AB223" s="56">
        <v>30049011</v>
      </c>
      <c r="AC223" s="56">
        <v>5</v>
      </c>
    </row>
    <row r="224" spans="1:29" x14ac:dyDescent="0.25">
      <c r="A224" s="37" t="s">
        <v>760</v>
      </c>
      <c r="B224" s="38" t="s">
        <v>766</v>
      </c>
      <c r="C224" s="38"/>
      <c r="D224" s="38" t="s">
        <v>767</v>
      </c>
      <c r="E224" s="38" t="s">
        <v>768</v>
      </c>
      <c r="F224" s="33">
        <v>6</v>
      </c>
      <c r="G224" s="33">
        <v>1</v>
      </c>
      <c r="H224" s="33">
        <f t="shared" si="16"/>
        <v>6</v>
      </c>
      <c r="I224" s="31" t="s">
        <v>769</v>
      </c>
      <c r="J224" s="30">
        <v>58.5</v>
      </c>
      <c r="K224" s="30">
        <v>180.18</v>
      </c>
      <c r="L224" s="31" t="s">
        <v>770</v>
      </c>
      <c r="M224" s="30">
        <f t="shared" si="22"/>
        <v>351</v>
      </c>
      <c r="N224" s="50">
        <v>6</v>
      </c>
      <c r="O224" s="117"/>
      <c r="P224" s="117"/>
      <c r="Q224" s="117">
        <f t="shared" si="19"/>
        <v>351</v>
      </c>
      <c r="R224" s="30">
        <f t="shared" si="23"/>
        <v>331.1320754716981</v>
      </c>
      <c r="S224" s="83"/>
      <c r="T224" s="83"/>
      <c r="U224" s="83"/>
      <c r="V224" s="32" t="s">
        <v>64</v>
      </c>
      <c r="W224" s="33">
        <v>180</v>
      </c>
      <c r="X224" s="30"/>
      <c r="Y224" s="34">
        <f t="shared" si="20"/>
        <v>0</v>
      </c>
      <c r="Z224" s="55"/>
      <c r="AA224" s="9" t="s">
        <v>765</v>
      </c>
      <c r="AB224" s="56">
        <v>30049069</v>
      </c>
      <c r="AC224" s="56">
        <v>5</v>
      </c>
    </row>
    <row r="225" spans="1:29" x14ac:dyDescent="0.25">
      <c r="A225" s="37" t="s">
        <v>760</v>
      </c>
      <c r="B225" s="38" t="s">
        <v>771</v>
      </c>
      <c r="C225" s="38"/>
      <c r="D225" s="38" t="s">
        <v>772</v>
      </c>
      <c r="E225" s="44" t="s">
        <v>773</v>
      </c>
      <c r="F225" s="33">
        <v>1</v>
      </c>
      <c r="G225" s="33">
        <v>1</v>
      </c>
      <c r="H225" s="33">
        <f t="shared" si="16"/>
        <v>1</v>
      </c>
      <c r="I225" s="31" t="s">
        <v>311</v>
      </c>
      <c r="J225" s="30">
        <v>42.42</v>
      </c>
      <c r="K225" s="30">
        <v>165.7</v>
      </c>
      <c r="L225" s="31" t="s">
        <v>311</v>
      </c>
      <c r="M225" s="30">
        <f t="shared" si="22"/>
        <v>42.42</v>
      </c>
      <c r="N225" s="50">
        <v>0</v>
      </c>
      <c r="O225" s="117"/>
      <c r="P225" s="117"/>
      <c r="Q225" s="117">
        <f t="shared" si="19"/>
        <v>42.42</v>
      </c>
      <c r="R225" s="30">
        <f t="shared" si="23"/>
        <v>42.42</v>
      </c>
      <c r="S225" s="83">
        <v>44.54</v>
      </c>
      <c r="T225" s="83">
        <v>48.99</v>
      </c>
      <c r="U225" s="83">
        <v>55.67</v>
      </c>
      <c r="V225" s="32"/>
      <c r="W225" s="33">
        <v>160</v>
      </c>
      <c r="X225" s="30"/>
      <c r="Y225" s="34">
        <f t="shared" si="20"/>
        <v>0</v>
      </c>
      <c r="Z225" s="55"/>
      <c r="AA225" s="9" t="s">
        <v>765</v>
      </c>
      <c r="AB225" s="56">
        <v>30049011</v>
      </c>
      <c r="AC225" s="56">
        <v>5</v>
      </c>
    </row>
    <row r="226" spans="1:29" ht="45" x14ac:dyDescent="0.25">
      <c r="A226" s="37" t="s">
        <v>760</v>
      </c>
      <c r="B226" s="38" t="s">
        <v>774</v>
      </c>
      <c r="C226" s="38"/>
      <c r="D226" s="38" t="s">
        <v>775</v>
      </c>
      <c r="E226" s="44" t="s">
        <v>776</v>
      </c>
      <c r="F226" s="33">
        <v>1</v>
      </c>
      <c r="G226" s="33">
        <v>1</v>
      </c>
      <c r="H226" s="33">
        <f t="shared" si="16"/>
        <v>1</v>
      </c>
      <c r="I226" s="31" t="s">
        <v>777</v>
      </c>
      <c r="J226" s="30">
        <v>51</v>
      </c>
      <c r="K226" s="30">
        <v>188.53</v>
      </c>
      <c r="L226" s="31" t="s">
        <v>210</v>
      </c>
      <c r="M226" s="30">
        <f t="shared" si="22"/>
        <v>51</v>
      </c>
      <c r="N226" s="50">
        <v>0</v>
      </c>
      <c r="O226" s="117"/>
      <c r="P226" s="117"/>
      <c r="Q226" s="117">
        <f t="shared" si="19"/>
        <v>51</v>
      </c>
      <c r="R226" s="30">
        <f t="shared" si="23"/>
        <v>51</v>
      </c>
      <c r="S226" s="83"/>
      <c r="T226" s="83"/>
      <c r="U226" s="83"/>
      <c r="V226" s="32" t="s">
        <v>64</v>
      </c>
      <c r="W226" s="33">
        <v>180</v>
      </c>
      <c r="X226" s="30"/>
      <c r="Y226" s="34">
        <f t="shared" si="20"/>
        <v>0</v>
      </c>
      <c r="Z226" s="55"/>
      <c r="AA226" s="9" t="s">
        <v>765</v>
      </c>
      <c r="AB226" s="56">
        <v>30049011</v>
      </c>
      <c r="AC226" s="56">
        <v>5</v>
      </c>
    </row>
    <row r="227" spans="1:29" x14ac:dyDescent="0.25">
      <c r="A227" s="37" t="s">
        <v>760</v>
      </c>
      <c r="B227" s="38" t="s">
        <v>778</v>
      </c>
      <c r="C227" s="38"/>
      <c r="D227" s="38" t="s">
        <v>779</v>
      </c>
      <c r="E227" s="44" t="s">
        <v>780</v>
      </c>
      <c r="F227" s="33">
        <v>1</v>
      </c>
      <c r="G227" s="33">
        <v>1</v>
      </c>
      <c r="H227" s="33">
        <f t="shared" si="16"/>
        <v>1</v>
      </c>
      <c r="I227" s="31" t="s">
        <v>781</v>
      </c>
      <c r="J227" s="36">
        <v>45</v>
      </c>
      <c r="K227" s="30">
        <v>106.78</v>
      </c>
      <c r="L227" s="31" t="s">
        <v>781</v>
      </c>
      <c r="M227" s="30">
        <f t="shared" si="22"/>
        <v>45</v>
      </c>
      <c r="N227" s="50">
        <v>15</v>
      </c>
      <c r="O227" s="117"/>
      <c r="P227" s="117"/>
      <c r="Q227" s="117">
        <f t="shared" si="19"/>
        <v>45</v>
      </c>
      <c r="R227" s="30">
        <f t="shared" si="23"/>
        <v>39.130434782608695</v>
      </c>
      <c r="S227" s="83"/>
      <c r="T227" s="83"/>
      <c r="U227" s="83"/>
      <c r="V227" s="32" t="s">
        <v>64</v>
      </c>
      <c r="W227" s="33">
        <v>80</v>
      </c>
      <c r="X227" s="30"/>
      <c r="Y227" s="34">
        <f t="shared" si="20"/>
        <v>0</v>
      </c>
      <c r="Z227" s="55"/>
      <c r="AA227" s="9" t="s">
        <v>765</v>
      </c>
      <c r="AB227" s="56">
        <v>30049099</v>
      </c>
      <c r="AC227" s="56">
        <v>5</v>
      </c>
    </row>
    <row r="228" spans="1:29" x14ac:dyDescent="0.25">
      <c r="A228" s="37" t="s">
        <v>760</v>
      </c>
      <c r="B228" s="63" t="s">
        <v>782</v>
      </c>
      <c r="C228" s="63"/>
      <c r="D228" s="38" t="s">
        <v>783</v>
      </c>
      <c r="E228" s="44" t="s">
        <v>784</v>
      </c>
      <c r="F228" s="33">
        <v>1</v>
      </c>
      <c r="G228" s="33">
        <v>1</v>
      </c>
      <c r="H228" s="33">
        <f t="shared" si="16"/>
        <v>1</v>
      </c>
      <c r="I228" s="31" t="s">
        <v>781</v>
      </c>
      <c r="J228" s="30">
        <v>36</v>
      </c>
      <c r="K228" s="30">
        <v>97.88</v>
      </c>
      <c r="L228" s="31" t="s">
        <v>781</v>
      </c>
      <c r="M228" s="30">
        <f t="shared" si="22"/>
        <v>36</v>
      </c>
      <c r="N228" s="50">
        <v>10</v>
      </c>
      <c r="O228" s="117"/>
      <c r="P228" s="117"/>
      <c r="Q228" s="117">
        <f t="shared" si="19"/>
        <v>36</v>
      </c>
      <c r="R228" s="30">
        <f t="shared" si="23"/>
        <v>32.727272727272727</v>
      </c>
      <c r="S228" s="83"/>
      <c r="T228" s="83"/>
      <c r="U228" s="83"/>
      <c r="V228" s="32" t="s">
        <v>64</v>
      </c>
      <c r="W228" s="33">
        <v>96</v>
      </c>
      <c r="X228" s="30"/>
      <c r="Y228" s="34">
        <f t="shared" si="20"/>
        <v>0</v>
      </c>
      <c r="Z228" s="55"/>
      <c r="AA228" s="9" t="s">
        <v>765</v>
      </c>
      <c r="AB228" s="56">
        <v>33049930</v>
      </c>
      <c r="AC228" s="56">
        <v>5</v>
      </c>
    </row>
    <row r="229" spans="1:29" x14ac:dyDescent="0.25">
      <c r="A229" s="37" t="s">
        <v>760</v>
      </c>
      <c r="B229" s="38" t="s">
        <v>785</v>
      </c>
      <c r="C229" s="38"/>
      <c r="D229" s="38" t="s">
        <v>786</v>
      </c>
      <c r="E229" s="38" t="s">
        <v>787</v>
      </c>
      <c r="F229" s="33">
        <v>1</v>
      </c>
      <c r="G229" s="33">
        <v>1</v>
      </c>
      <c r="H229" s="33">
        <f t="shared" si="16"/>
        <v>1</v>
      </c>
      <c r="I229" s="31" t="s">
        <v>788</v>
      </c>
      <c r="J229" s="30">
        <v>32</v>
      </c>
      <c r="K229" s="30">
        <v>96</v>
      </c>
      <c r="L229" s="31" t="s">
        <v>788</v>
      </c>
      <c r="M229" s="30">
        <f t="shared" si="22"/>
        <v>32</v>
      </c>
      <c r="N229" s="50">
        <v>0</v>
      </c>
      <c r="O229" s="117"/>
      <c r="P229" s="117"/>
      <c r="Q229" s="117">
        <f t="shared" si="19"/>
        <v>32</v>
      </c>
      <c r="R229" s="30">
        <f t="shared" si="23"/>
        <v>32</v>
      </c>
      <c r="S229" s="83"/>
      <c r="T229" s="83"/>
      <c r="U229" s="83"/>
      <c r="V229" s="32" t="s">
        <v>64</v>
      </c>
      <c r="W229" s="33">
        <v>144</v>
      </c>
      <c r="X229" s="30"/>
      <c r="Y229" s="34">
        <f t="shared" si="20"/>
        <v>0</v>
      </c>
      <c r="Z229" s="55"/>
      <c r="AA229" s="9" t="s">
        <v>765</v>
      </c>
      <c r="AB229" s="56">
        <v>34013090</v>
      </c>
      <c r="AC229" s="56">
        <v>18.000000000000004</v>
      </c>
    </row>
    <row r="230" spans="1:29" x14ac:dyDescent="0.25">
      <c r="A230" s="37" t="s">
        <v>760</v>
      </c>
      <c r="B230" s="38" t="s">
        <v>789</v>
      </c>
      <c r="C230" s="38"/>
      <c r="D230" s="38" t="s">
        <v>790</v>
      </c>
      <c r="E230" s="38" t="s">
        <v>791</v>
      </c>
      <c r="F230" s="33">
        <v>1</v>
      </c>
      <c r="G230" s="33">
        <v>1</v>
      </c>
      <c r="H230" s="33">
        <f t="shared" si="16"/>
        <v>1</v>
      </c>
      <c r="I230" s="31" t="s">
        <v>788</v>
      </c>
      <c r="J230" s="30">
        <v>32</v>
      </c>
      <c r="K230" s="30">
        <v>96</v>
      </c>
      <c r="L230" s="31" t="s">
        <v>788</v>
      </c>
      <c r="M230" s="30">
        <f t="shared" si="22"/>
        <v>32</v>
      </c>
      <c r="N230" s="50">
        <v>0</v>
      </c>
      <c r="O230" s="117"/>
      <c r="P230" s="117"/>
      <c r="Q230" s="117">
        <f t="shared" si="19"/>
        <v>32</v>
      </c>
      <c r="R230" s="30">
        <f t="shared" si="23"/>
        <v>32</v>
      </c>
      <c r="S230" s="83"/>
      <c r="T230" s="83"/>
      <c r="U230" s="83"/>
      <c r="V230" s="32" t="s">
        <v>64</v>
      </c>
      <c r="W230" s="33">
        <v>144</v>
      </c>
      <c r="X230" s="30"/>
      <c r="Y230" s="34">
        <f t="shared" si="20"/>
        <v>0</v>
      </c>
      <c r="Z230" s="55"/>
      <c r="AA230" s="9" t="s">
        <v>765</v>
      </c>
      <c r="AB230" s="56">
        <v>34013090</v>
      </c>
      <c r="AC230" s="56">
        <v>18.000000000000004</v>
      </c>
    </row>
    <row r="231" spans="1:29" x14ac:dyDescent="0.25">
      <c r="A231" s="37" t="s">
        <v>760</v>
      </c>
      <c r="B231" s="38" t="s">
        <v>792</v>
      </c>
      <c r="C231" s="38"/>
      <c r="D231" s="38" t="s">
        <v>793</v>
      </c>
      <c r="E231" s="38" t="s">
        <v>794</v>
      </c>
      <c r="F231" s="33">
        <v>1</v>
      </c>
      <c r="G231" s="33">
        <v>1</v>
      </c>
      <c r="H231" s="33">
        <f t="shared" si="16"/>
        <v>1</v>
      </c>
      <c r="I231" s="31" t="s">
        <v>795</v>
      </c>
      <c r="J231" s="36">
        <v>27.9</v>
      </c>
      <c r="K231" s="30">
        <v>83.2</v>
      </c>
      <c r="L231" s="31" t="s">
        <v>796</v>
      </c>
      <c r="M231" s="30">
        <f t="shared" si="22"/>
        <v>27.9</v>
      </c>
      <c r="N231" s="50">
        <v>4</v>
      </c>
      <c r="O231" s="117"/>
      <c r="P231" s="117"/>
      <c r="Q231" s="117">
        <f t="shared" si="19"/>
        <v>27.9</v>
      </c>
      <c r="R231" s="30">
        <f t="shared" si="23"/>
        <v>26.826923076923073</v>
      </c>
      <c r="S231" s="83">
        <v>27.31</v>
      </c>
      <c r="T231" s="83">
        <v>30.041</v>
      </c>
      <c r="U231" s="83">
        <v>31.404499999999999</v>
      </c>
      <c r="V231" s="32"/>
      <c r="W231" s="33">
        <v>240</v>
      </c>
      <c r="X231" s="30"/>
      <c r="Y231" s="34">
        <f t="shared" si="20"/>
        <v>0</v>
      </c>
      <c r="Z231" s="55"/>
      <c r="AA231" s="9" t="s">
        <v>765</v>
      </c>
      <c r="AB231" s="56">
        <v>34011941</v>
      </c>
      <c r="AC231" s="56">
        <v>5</v>
      </c>
    </row>
    <row r="232" spans="1:29" x14ac:dyDescent="0.25">
      <c r="A232" s="37" t="s">
        <v>760</v>
      </c>
      <c r="B232" s="38" t="s">
        <v>797</v>
      </c>
      <c r="C232" s="38"/>
      <c r="D232" s="38" t="s">
        <v>798</v>
      </c>
      <c r="E232" s="38" t="s">
        <v>799</v>
      </c>
      <c r="F232" s="33">
        <v>1</v>
      </c>
      <c r="G232" s="33">
        <v>1</v>
      </c>
      <c r="H232" s="33">
        <f t="shared" si="16"/>
        <v>1</v>
      </c>
      <c r="I232" s="31" t="s">
        <v>795</v>
      </c>
      <c r="J232" s="30">
        <v>45</v>
      </c>
      <c r="K232" s="30">
        <v>249</v>
      </c>
      <c r="L232" s="31" t="s">
        <v>800</v>
      </c>
      <c r="M232" s="30">
        <f t="shared" si="22"/>
        <v>45</v>
      </c>
      <c r="N232" s="50">
        <v>21</v>
      </c>
      <c r="O232" s="117"/>
      <c r="P232" s="117"/>
      <c r="Q232" s="117">
        <f t="shared" si="19"/>
        <v>45</v>
      </c>
      <c r="R232" s="30">
        <f t="shared" si="23"/>
        <v>37.190082644628099</v>
      </c>
      <c r="S232" s="83"/>
      <c r="T232" s="83"/>
      <c r="U232" s="83"/>
      <c r="V232" s="32" t="s">
        <v>64</v>
      </c>
      <c r="W232" s="33">
        <v>200</v>
      </c>
      <c r="X232" s="30"/>
      <c r="Y232" s="34">
        <f t="shared" si="20"/>
        <v>0</v>
      </c>
      <c r="Z232" s="55"/>
      <c r="AA232" s="9" t="s">
        <v>765</v>
      </c>
      <c r="AB232" s="56">
        <v>33049910</v>
      </c>
      <c r="AC232" s="56">
        <v>18</v>
      </c>
    </row>
    <row r="233" spans="1:29" x14ac:dyDescent="0.25">
      <c r="A233" s="37" t="s">
        <v>760</v>
      </c>
      <c r="B233" s="38" t="s">
        <v>801</v>
      </c>
      <c r="C233" s="38"/>
      <c r="D233" s="38" t="s">
        <v>802</v>
      </c>
      <c r="E233" s="38" t="s">
        <v>803</v>
      </c>
      <c r="F233" s="33">
        <v>1</v>
      </c>
      <c r="G233" s="33">
        <v>1</v>
      </c>
      <c r="H233" s="33">
        <f t="shared" si="16"/>
        <v>1</v>
      </c>
      <c r="I233" s="31" t="s">
        <v>795</v>
      </c>
      <c r="J233" s="30">
        <v>27</v>
      </c>
      <c r="K233" s="30">
        <v>97.88</v>
      </c>
      <c r="L233" s="31" t="s">
        <v>795</v>
      </c>
      <c r="M233" s="30">
        <f t="shared" si="22"/>
        <v>27</v>
      </c>
      <c r="N233" s="50">
        <v>35</v>
      </c>
      <c r="O233" s="117"/>
      <c r="P233" s="117"/>
      <c r="Q233" s="117">
        <f t="shared" si="19"/>
        <v>27</v>
      </c>
      <c r="R233" s="30">
        <f t="shared" si="23"/>
        <v>20</v>
      </c>
      <c r="S233" s="83"/>
      <c r="T233" s="83"/>
      <c r="U233" s="83"/>
      <c r="V233" s="32" t="s">
        <v>64</v>
      </c>
      <c r="W233" s="33">
        <v>144</v>
      </c>
      <c r="X233" s="30"/>
      <c r="Y233" s="34">
        <f t="shared" si="20"/>
        <v>0</v>
      </c>
      <c r="Z233" s="55"/>
      <c r="AA233" s="9" t="s">
        <v>765</v>
      </c>
      <c r="AB233" s="56">
        <v>34011190</v>
      </c>
      <c r="AC233" s="56">
        <v>5</v>
      </c>
    </row>
    <row r="234" spans="1:29" x14ac:dyDescent="0.25">
      <c r="A234" s="37" t="s">
        <v>760</v>
      </c>
      <c r="B234" s="38" t="s">
        <v>804</v>
      </c>
      <c r="C234" s="38"/>
      <c r="D234" s="38" t="s">
        <v>805</v>
      </c>
      <c r="E234" s="38" t="s">
        <v>806</v>
      </c>
      <c r="F234" s="33">
        <v>1</v>
      </c>
      <c r="G234" s="33">
        <v>1</v>
      </c>
      <c r="H234" s="33">
        <f t="shared" si="16"/>
        <v>1</v>
      </c>
      <c r="I234" s="31" t="s">
        <v>315</v>
      </c>
      <c r="J234" s="30">
        <v>33</v>
      </c>
      <c r="K234" s="30">
        <v>110</v>
      </c>
      <c r="L234" s="31" t="s">
        <v>315</v>
      </c>
      <c r="M234" s="30">
        <f t="shared" si="22"/>
        <v>33</v>
      </c>
      <c r="N234" s="50">
        <v>35</v>
      </c>
      <c r="O234" s="117"/>
      <c r="P234" s="117"/>
      <c r="Q234" s="117">
        <f t="shared" si="19"/>
        <v>33</v>
      </c>
      <c r="R234" s="30">
        <f t="shared" si="23"/>
        <v>24.444444444444443</v>
      </c>
      <c r="S234" s="83"/>
      <c r="T234" s="83"/>
      <c r="U234" s="83"/>
      <c r="V234" s="32" t="s">
        <v>64</v>
      </c>
      <c r="W234" s="33">
        <v>144</v>
      </c>
      <c r="X234" s="30"/>
      <c r="Y234" s="34">
        <f t="shared" si="20"/>
        <v>0</v>
      </c>
      <c r="Z234" s="55"/>
      <c r="AA234" s="9" t="s">
        <v>765</v>
      </c>
      <c r="AB234" s="56">
        <v>33049990</v>
      </c>
      <c r="AC234" s="56">
        <v>18.000000000000004</v>
      </c>
    </row>
    <row r="235" spans="1:29" x14ac:dyDescent="0.25">
      <c r="A235" s="37" t="s">
        <v>760</v>
      </c>
      <c r="B235" s="38" t="s">
        <v>807</v>
      </c>
      <c r="C235" s="38"/>
      <c r="D235" s="38" t="s">
        <v>808</v>
      </c>
      <c r="E235" s="38" t="s">
        <v>809</v>
      </c>
      <c r="F235" s="33">
        <v>1</v>
      </c>
      <c r="G235" s="33">
        <v>1</v>
      </c>
      <c r="H235" s="33">
        <f t="shared" si="16"/>
        <v>1</v>
      </c>
      <c r="I235" s="31" t="s">
        <v>795</v>
      </c>
      <c r="J235" s="30">
        <v>25</v>
      </c>
      <c r="K235" s="30">
        <v>80.08</v>
      </c>
      <c r="L235" s="31" t="s">
        <v>795</v>
      </c>
      <c r="M235" s="30">
        <f t="shared" si="22"/>
        <v>25</v>
      </c>
      <c r="N235" s="50">
        <v>25</v>
      </c>
      <c r="O235" s="117"/>
      <c r="P235" s="117"/>
      <c r="Q235" s="117">
        <f t="shared" si="19"/>
        <v>25</v>
      </c>
      <c r="R235" s="30">
        <f t="shared" si="23"/>
        <v>20</v>
      </c>
      <c r="S235" s="83"/>
      <c r="T235" s="83"/>
      <c r="U235" s="83"/>
      <c r="V235" s="32" t="s">
        <v>64</v>
      </c>
      <c r="W235" s="33">
        <v>144</v>
      </c>
      <c r="X235" s="30"/>
      <c r="Y235" s="34">
        <f t="shared" si="20"/>
        <v>0</v>
      </c>
      <c r="Z235" s="55"/>
      <c r="AA235" s="9" t="s">
        <v>765</v>
      </c>
      <c r="AB235" s="56">
        <v>34011190</v>
      </c>
      <c r="AC235" s="56">
        <v>5</v>
      </c>
    </row>
    <row r="236" spans="1:29" x14ac:dyDescent="0.25">
      <c r="A236" s="37" t="s">
        <v>760</v>
      </c>
      <c r="B236" s="38" t="s">
        <v>810</v>
      </c>
      <c r="C236" s="38"/>
      <c r="D236" s="38" t="s">
        <v>811</v>
      </c>
      <c r="E236" s="38" t="s">
        <v>812</v>
      </c>
      <c r="F236" s="33">
        <v>1</v>
      </c>
      <c r="G236" s="33">
        <v>1</v>
      </c>
      <c r="H236" s="33">
        <f t="shared" si="16"/>
        <v>1</v>
      </c>
      <c r="I236" s="31" t="s">
        <v>788</v>
      </c>
      <c r="J236" s="30">
        <v>32</v>
      </c>
      <c r="K236" s="30">
        <v>96</v>
      </c>
      <c r="L236" s="31" t="s">
        <v>788</v>
      </c>
      <c r="M236" s="30">
        <f t="shared" si="22"/>
        <v>32</v>
      </c>
      <c r="N236" s="50">
        <v>0</v>
      </c>
      <c r="O236" s="117"/>
      <c r="P236" s="117"/>
      <c r="Q236" s="117">
        <f t="shared" si="19"/>
        <v>32</v>
      </c>
      <c r="R236" s="30">
        <f t="shared" si="23"/>
        <v>32</v>
      </c>
      <c r="S236" s="83"/>
      <c r="T236" s="83"/>
      <c r="U236" s="83"/>
      <c r="V236" s="32" t="s">
        <v>64</v>
      </c>
      <c r="W236" s="33">
        <v>144</v>
      </c>
      <c r="X236" s="30"/>
      <c r="Y236" s="34">
        <f t="shared" si="20"/>
        <v>0</v>
      </c>
      <c r="Z236" s="55"/>
      <c r="AA236" s="9" t="s">
        <v>765</v>
      </c>
      <c r="AB236" s="56">
        <v>34013090</v>
      </c>
      <c r="AC236" s="56">
        <v>18.000000000000004</v>
      </c>
    </row>
    <row r="237" spans="1:29" x14ac:dyDescent="0.25">
      <c r="A237" s="37" t="s">
        <v>760</v>
      </c>
      <c r="B237" s="38" t="s">
        <v>813</v>
      </c>
      <c r="C237" s="38"/>
      <c r="D237" s="38" t="s">
        <v>814</v>
      </c>
      <c r="E237" s="38" t="s">
        <v>815</v>
      </c>
      <c r="F237" s="33">
        <v>1</v>
      </c>
      <c r="G237" s="33">
        <v>1</v>
      </c>
      <c r="H237" s="33">
        <f t="shared" si="16"/>
        <v>1</v>
      </c>
      <c r="I237" s="31" t="s">
        <v>315</v>
      </c>
      <c r="J237" s="36">
        <v>73.5</v>
      </c>
      <c r="K237" s="30">
        <v>239</v>
      </c>
      <c r="L237" s="31" t="s">
        <v>315</v>
      </c>
      <c r="M237" s="30">
        <f t="shared" si="22"/>
        <v>73.5</v>
      </c>
      <c r="N237" s="50">
        <v>5</v>
      </c>
      <c r="O237" s="117"/>
      <c r="P237" s="117"/>
      <c r="Q237" s="117">
        <f t="shared" si="19"/>
        <v>73.5</v>
      </c>
      <c r="R237" s="30">
        <f t="shared" si="23"/>
        <v>70</v>
      </c>
      <c r="S237" s="83"/>
      <c r="T237" s="83"/>
      <c r="U237" s="83"/>
      <c r="V237" s="32" t="s">
        <v>64</v>
      </c>
      <c r="W237" s="33">
        <v>80</v>
      </c>
      <c r="X237" s="30"/>
      <c r="Y237" s="34">
        <f t="shared" si="20"/>
        <v>0</v>
      </c>
      <c r="Z237" s="55"/>
      <c r="AA237" s="9" t="s">
        <v>765</v>
      </c>
      <c r="AB237" s="56">
        <v>33049990</v>
      </c>
      <c r="AC237" s="56">
        <v>18.000000000000004</v>
      </c>
    </row>
    <row r="238" spans="1:29" x14ac:dyDescent="0.25">
      <c r="A238" s="37" t="s">
        <v>760</v>
      </c>
      <c r="B238" s="38" t="s">
        <v>816</v>
      </c>
      <c r="C238" s="38"/>
      <c r="D238" s="38" t="s">
        <v>817</v>
      </c>
      <c r="E238" s="38" t="s">
        <v>818</v>
      </c>
      <c r="F238" s="33">
        <v>1</v>
      </c>
      <c r="G238" s="33">
        <v>1</v>
      </c>
      <c r="H238" s="33">
        <f>G238*F238</f>
        <v>1</v>
      </c>
      <c r="I238" s="31" t="s">
        <v>315</v>
      </c>
      <c r="J238" s="30">
        <v>91.73</v>
      </c>
      <c r="K238" s="30">
        <v>330</v>
      </c>
      <c r="L238" s="31" t="s">
        <v>315</v>
      </c>
      <c r="M238" s="30">
        <f t="shared" si="22"/>
        <v>91.73</v>
      </c>
      <c r="N238" s="50">
        <v>5</v>
      </c>
      <c r="O238" s="117"/>
      <c r="P238" s="117"/>
      <c r="Q238" s="117">
        <f t="shared" si="19"/>
        <v>91.73</v>
      </c>
      <c r="R238" s="30">
        <f t="shared" si="23"/>
        <v>87.361904761904768</v>
      </c>
      <c r="S238" s="83"/>
      <c r="T238" s="83"/>
      <c r="U238" s="83"/>
      <c r="V238" s="32" t="s">
        <v>64</v>
      </c>
      <c r="W238" s="33">
        <v>80</v>
      </c>
      <c r="X238" s="30"/>
      <c r="Y238" s="34">
        <f t="shared" si="20"/>
        <v>0</v>
      </c>
      <c r="Z238" s="55"/>
      <c r="AA238" s="9" t="s">
        <v>765</v>
      </c>
      <c r="AB238" s="56">
        <v>33049990</v>
      </c>
      <c r="AC238" s="56">
        <v>18</v>
      </c>
    </row>
    <row r="239" spans="1:29" x14ac:dyDescent="0.25">
      <c r="A239" s="37" t="s">
        <v>760</v>
      </c>
      <c r="B239" s="38" t="s">
        <v>819</v>
      </c>
      <c r="C239" s="38"/>
      <c r="D239" s="38" t="s">
        <v>820</v>
      </c>
      <c r="E239" s="38" t="s">
        <v>821</v>
      </c>
      <c r="F239" s="33">
        <v>30</v>
      </c>
      <c r="G239" s="33">
        <v>4</v>
      </c>
      <c r="H239" s="33">
        <f t="shared" ref="H239:H245" si="24">G239*F239</f>
        <v>120</v>
      </c>
      <c r="I239" s="31" t="s">
        <v>500</v>
      </c>
      <c r="J239" s="30">
        <v>10.62</v>
      </c>
      <c r="K239" s="30">
        <v>137.16</v>
      </c>
      <c r="L239" s="31" t="s">
        <v>822</v>
      </c>
      <c r="M239" s="30">
        <f t="shared" si="22"/>
        <v>318.59999999999997</v>
      </c>
      <c r="N239" s="50">
        <v>52</v>
      </c>
      <c r="O239" s="117"/>
      <c r="P239" s="117"/>
      <c r="Q239" s="117">
        <f t="shared" si="19"/>
        <v>318.59999999999997</v>
      </c>
      <c r="R239" s="30">
        <f t="shared" si="23"/>
        <v>209.60526315789471</v>
      </c>
      <c r="S239" s="83"/>
      <c r="T239" s="83"/>
      <c r="U239" s="83"/>
      <c r="V239" s="32" t="s">
        <v>64</v>
      </c>
      <c r="W239" s="33">
        <v>32</v>
      </c>
      <c r="X239" s="30"/>
      <c r="Y239" s="34">
        <f t="shared" si="20"/>
        <v>0</v>
      </c>
      <c r="Z239" s="55"/>
      <c r="AA239" s="9" t="s">
        <v>765</v>
      </c>
      <c r="AB239" s="56">
        <v>30049029</v>
      </c>
      <c r="AC239" s="56">
        <v>5</v>
      </c>
    </row>
    <row r="240" spans="1:29" x14ac:dyDescent="0.25">
      <c r="A240" s="37" t="s">
        <v>760</v>
      </c>
      <c r="B240" s="38" t="s">
        <v>823</v>
      </c>
      <c r="C240" s="38"/>
      <c r="D240" s="38" t="s">
        <v>824</v>
      </c>
      <c r="E240" s="38" t="s">
        <v>825</v>
      </c>
      <c r="F240" s="33">
        <v>20</v>
      </c>
      <c r="G240" s="33">
        <v>4</v>
      </c>
      <c r="H240" s="33">
        <f t="shared" si="24"/>
        <v>80</v>
      </c>
      <c r="I240" s="31" t="s">
        <v>500</v>
      </c>
      <c r="J240" s="30">
        <v>12.649999999999999</v>
      </c>
      <c r="K240" s="30">
        <v>253.13</v>
      </c>
      <c r="L240" s="31" t="s">
        <v>826</v>
      </c>
      <c r="M240" s="30">
        <f t="shared" si="22"/>
        <v>252.99999999999997</v>
      </c>
      <c r="N240" s="50">
        <v>10</v>
      </c>
      <c r="O240" s="117"/>
      <c r="P240" s="117"/>
      <c r="Q240" s="117">
        <f t="shared" si="19"/>
        <v>252.99999999999997</v>
      </c>
      <c r="R240" s="30">
        <f t="shared" si="23"/>
        <v>229.99999999999994</v>
      </c>
      <c r="S240" s="83"/>
      <c r="T240" s="83"/>
      <c r="U240" s="83"/>
      <c r="V240" s="32" t="s">
        <v>64</v>
      </c>
      <c r="W240" s="33">
        <v>64</v>
      </c>
      <c r="X240" s="30"/>
      <c r="Y240" s="34">
        <f t="shared" si="20"/>
        <v>0</v>
      </c>
      <c r="Z240" s="55"/>
      <c r="AA240" s="9" t="s">
        <v>765</v>
      </c>
      <c r="AB240" s="56">
        <v>30049099</v>
      </c>
      <c r="AC240" s="56">
        <v>5</v>
      </c>
    </row>
    <row r="241" spans="1:29" x14ac:dyDescent="0.25">
      <c r="A241" s="37" t="s">
        <v>760</v>
      </c>
      <c r="B241" s="38" t="s">
        <v>827</v>
      </c>
      <c r="C241" s="38"/>
      <c r="D241" s="38" t="s">
        <v>828</v>
      </c>
      <c r="E241" s="44" t="s">
        <v>829</v>
      </c>
      <c r="F241" s="33">
        <v>10</v>
      </c>
      <c r="G241" s="33">
        <v>10</v>
      </c>
      <c r="H241" s="33">
        <f t="shared" si="24"/>
        <v>100</v>
      </c>
      <c r="I241" s="31" t="s">
        <v>88</v>
      </c>
      <c r="J241" s="30">
        <v>12.130000000000003</v>
      </c>
      <c r="K241" s="30">
        <v>128.58000000000001</v>
      </c>
      <c r="L241" s="31" t="s">
        <v>177</v>
      </c>
      <c r="M241" s="30">
        <f t="shared" si="22"/>
        <v>121.30000000000003</v>
      </c>
      <c r="N241" s="50">
        <v>0</v>
      </c>
      <c r="O241" s="117"/>
      <c r="P241" s="117"/>
      <c r="Q241" s="117">
        <f t="shared" si="19"/>
        <v>121.30000000000003</v>
      </c>
      <c r="R241" s="30">
        <f t="shared" si="23"/>
        <v>121.30000000000003</v>
      </c>
      <c r="S241" s="83"/>
      <c r="T241" s="83"/>
      <c r="U241" s="83"/>
      <c r="V241" s="32" t="s">
        <v>64</v>
      </c>
      <c r="W241" s="33">
        <v>60</v>
      </c>
      <c r="X241" s="30"/>
      <c r="Y241" s="34">
        <f t="shared" si="20"/>
        <v>0</v>
      </c>
      <c r="Z241" s="55"/>
      <c r="AA241" s="9" t="s">
        <v>765</v>
      </c>
      <c r="AB241" s="56">
        <v>21069099</v>
      </c>
      <c r="AC241" s="56">
        <v>5</v>
      </c>
    </row>
    <row r="242" spans="1:29" x14ac:dyDescent="0.25">
      <c r="A242" s="37" t="s">
        <v>760</v>
      </c>
      <c r="B242" s="38" t="s">
        <v>830</v>
      </c>
      <c r="C242" s="38"/>
      <c r="D242" s="38" t="s">
        <v>831</v>
      </c>
      <c r="E242" s="44" t="s">
        <v>832</v>
      </c>
      <c r="F242" s="33">
        <v>10</v>
      </c>
      <c r="G242" s="33">
        <v>10</v>
      </c>
      <c r="H242" s="33">
        <f t="shared" si="24"/>
        <v>100</v>
      </c>
      <c r="I242" s="31" t="s">
        <v>88</v>
      </c>
      <c r="J242" s="30">
        <v>14.700000000000003</v>
      </c>
      <c r="K242" s="30">
        <v>145.26</v>
      </c>
      <c r="L242" s="31" t="s">
        <v>833</v>
      </c>
      <c r="M242" s="30">
        <f t="shared" si="22"/>
        <v>147.00000000000003</v>
      </c>
      <c r="N242" s="50">
        <v>0</v>
      </c>
      <c r="O242" s="117"/>
      <c r="P242" s="117"/>
      <c r="Q242" s="117">
        <f t="shared" si="19"/>
        <v>147.00000000000003</v>
      </c>
      <c r="R242" s="30">
        <f t="shared" si="23"/>
        <v>147.00000000000003</v>
      </c>
      <c r="S242" s="83"/>
      <c r="T242" s="83"/>
      <c r="U242" s="83"/>
      <c r="V242" s="32" t="s">
        <v>64</v>
      </c>
      <c r="W242" s="33">
        <v>60</v>
      </c>
      <c r="X242" s="30"/>
      <c r="Y242" s="34">
        <f t="shared" si="20"/>
        <v>0</v>
      </c>
      <c r="Z242" s="55"/>
      <c r="AA242" s="9" t="s">
        <v>765</v>
      </c>
      <c r="AB242" s="56">
        <v>21061000</v>
      </c>
      <c r="AC242" s="56">
        <v>5</v>
      </c>
    </row>
    <row r="243" spans="1:29" x14ac:dyDescent="0.25">
      <c r="A243" s="37" t="s">
        <v>760</v>
      </c>
      <c r="B243" s="38" t="s">
        <v>834</v>
      </c>
      <c r="C243" s="38"/>
      <c r="D243" s="38" t="s">
        <v>835</v>
      </c>
      <c r="E243" s="44" t="s">
        <v>832</v>
      </c>
      <c r="F243" s="33">
        <v>10</v>
      </c>
      <c r="G243" s="33">
        <v>10</v>
      </c>
      <c r="H243" s="33">
        <f>G243*F243</f>
        <v>100</v>
      </c>
      <c r="I243" s="31" t="s">
        <v>88</v>
      </c>
      <c r="J243" s="30">
        <v>28</v>
      </c>
      <c r="K243" s="30">
        <v>205.73</v>
      </c>
      <c r="L243" s="31" t="s">
        <v>833</v>
      </c>
      <c r="M243" s="30">
        <f t="shared" si="22"/>
        <v>280</v>
      </c>
      <c r="N243" s="50">
        <v>0</v>
      </c>
      <c r="O243" s="117"/>
      <c r="P243" s="117"/>
      <c r="Q243" s="117">
        <f t="shared" si="19"/>
        <v>280</v>
      </c>
      <c r="R243" s="30">
        <f t="shared" si="23"/>
        <v>280</v>
      </c>
      <c r="S243" s="83"/>
      <c r="T243" s="83"/>
      <c r="U243" s="83"/>
      <c r="V243" s="32" t="s">
        <v>64</v>
      </c>
      <c r="W243" s="33">
        <v>50</v>
      </c>
      <c r="X243" s="30"/>
      <c r="Y243" s="34">
        <f t="shared" si="20"/>
        <v>0</v>
      </c>
      <c r="Z243" s="55"/>
      <c r="AA243" s="9" t="s">
        <v>765</v>
      </c>
      <c r="AB243" s="56">
        <v>21061000</v>
      </c>
      <c r="AC243" s="56">
        <v>5</v>
      </c>
    </row>
    <row r="244" spans="1:29" ht="22.5" x14ac:dyDescent="0.25">
      <c r="A244" s="37" t="s">
        <v>760</v>
      </c>
      <c r="B244" s="38" t="s">
        <v>836</v>
      </c>
      <c r="C244" s="38"/>
      <c r="D244" s="38" t="s">
        <v>837</v>
      </c>
      <c r="E244" s="44" t="s">
        <v>838</v>
      </c>
      <c r="F244" s="33">
        <v>1</v>
      </c>
      <c r="G244" s="33">
        <v>1</v>
      </c>
      <c r="H244" s="33">
        <f t="shared" si="24"/>
        <v>1</v>
      </c>
      <c r="I244" s="31" t="s">
        <v>315</v>
      </c>
      <c r="J244" s="36">
        <v>23.5</v>
      </c>
      <c r="K244" s="30">
        <v>143.19999999999999</v>
      </c>
      <c r="L244" s="31" t="s">
        <v>315</v>
      </c>
      <c r="M244" s="30">
        <f t="shared" si="22"/>
        <v>23.5</v>
      </c>
      <c r="N244" s="50">
        <v>0</v>
      </c>
      <c r="O244" s="117"/>
      <c r="P244" s="117"/>
      <c r="Q244" s="117">
        <f t="shared" si="19"/>
        <v>23.5</v>
      </c>
      <c r="R244" s="30">
        <f t="shared" si="23"/>
        <v>23.5</v>
      </c>
      <c r="S244" s="83"/>
      <c r="T244" s="83"/>
      <c r="U244" s="83"/>
      <c r="V244" s="32" t="s">
        <v>64</v>
      </c>
      <c r="W244" s="33">
        <v>108</v>
      </c>
      <c r="X244" s="30"/>
      <c r="Y244" s="34">
        <f t="shared" si="20"/>
        <v>0</v>
      </c>
      <c r="Z244" s="55"/>
      <c r="AA244" s="9" t="s">
        <v>765</v>
      </c>
      <c r="AB244" s="56">
        <v>30049029</v>
      </c>
      <c r="AC244" s="56">
        <v>5</v>
      </c>
    </row>
    <row r="245" spans="1:29" ht="22.5" x14ac:dyDescent="0.25">
      <c r="A245" s="37" t="s">
        <v>760</v>
      </c>
      <c r="B245" s="38" t="s">
        <v>839</v>
      </c>
      <c r="C245" s="38"/>
      <c r="D245" s="38" t="s">
        <v>840</v>
      </c>
      <c r="E245" s="44" t="s">
        <v>841</v>
      </c>
      <c r="F245" s="33">
        <v>1</v>
      </c>
      <c r="G245" s="33">
        <v>1</v>
      </c>
      <c r="H245" s="33">
        <f t="shared" si="24"/>
        <v>1</v>
      </c>
      <c r="I245" s="31" t="s">
        <v>315</v>
      </c>
      <c r="J245" s="36">
        <v>23.5</v>
      </c>
      <c r="K245" s="30">
        <v>143.19999999999999</v>
      </c>
      <c r="L245" s="31" t="s">
        <v>315</v>
      </c>
      <c r="M245" s="30">
        <f t="shared" si="22"/>
        <v>23.5</v>
      </c>
      <c r="N245" s="50">
        <v>0</v>
      </c>
      <c r="O245" s="117"/>
      <c r="P245" s="117"/>
      <c r="Q245" s="117">
        <f t="shared" si="19"/>
        <v>23.5</v>
      </c>
      <c r="R245" s="30">
        <f t="shared" si="23"/>
        <v>23.5</v>
      </c>
      <c r="S245" s="83"/>
      <c r="T245" s="83"/>
      <c r="U245" s="83"/>
      <c r="V245" s="32" t="s">
        <v>64</v>
      </c>
      <c r="W245" s="33">
        <v>108</v>
      </c>
      <c r="X245" s="30"/>
      <c r="Y245" s="34">
        <f t="shared" si="20"/>
        <v>0</v>
      </c>
      <c r="Z245" s="55"/>
      <c r="AA245" s="9" t="s">
        <v>765</v>
      </c>
      <c r="AB245" s="56">
        <v>30049029</v>
      </c>
      <c r="AC245" s="56">
        <v>5</v>
      </c>
    </row>
    <row r="246" spans="1:29" x14ac:dyDescent="0.25">
      <c r="A246" s="37"/>
      <c r="B246" s="62" t="s">
        <v>842</v>
      </c>
      <c r="C246" s="62"/>
      <c r="D246" s="38"/>
      <c r="E246" s="44"/>
      <c r="F246" s="33"/>
      <c r="G246" s="33"/>
      <c r="H246" s="33"/>
      <c r="I246" s="31"/>
      <c r="J246" s="30">
        <v>0</v>
      </c>
      <c r="K246" s="30">
        <v>0</v>
      </c>
      <c r="L246" s="31"/>
      <c r="M246" s="30"/>
      <c r="N246" s="50">
        <v>0</v>
      </c>
      <c r="O246" s="117"/>
      <c r="P246" s="117"/>
      <c r="Q246" s="117">
        <f t="shared" si="19"/>
        <v>0</v>
      </c>
      <c r="R246" s="30"/>
      <c r="S246" s="83"/>
      <c r="T246" s="83"/>
      <c r="U246" s="83"/>
      <c r="V246" s="32"/>
      <c r="W246" s="33">
        <v>0</v>
      </c>
      <c r="X246" s="30"/>
      <c r="Y246" s="34">
        <f t="shared" si="20"/>
        <v>0</v>
      </c>
      <c r="Z246" s="55"/>
      <c r="AA246" s="9"/>
      <c r="AB246" s="56"/>
      <c r="AC246" s="56"/>
    </row>
    <row r="247" spans="1:29" x14ac:dyDescent="0.25">
      <c r="A247" s="37" t="s">
        <v>843</v>
      </c>
      <c r="B247" s="38" t="s">
        <v>844</v>
      </c>
      <c r="C247" s="38"/>
      <c r="D247" s="38" t="s">
        <v>845</v>
      </c>
      <c r="E247" s="38" t="s">
        <v>846</v>
      </c>
      <c r="F247" s="33">
        <v>1</v>
      </c>
      <c r="G247" s="33">
        <v>1</v>
      </c>
      <c r="H247" s="33">
        <f>G247*F247</f>
        <v>1</v>
      </c>
      <c r="I247" s="31" t="s">
        <v>83</v>
      </c>
      <c r="J247" s="30">
        <v>19.760000000000002</v>
      </c>
      <c r="K247" s="30">
        <v>113.28359762745373</v>
      </c>
      <c r="L247" s="30" t="s">
        <v>84</v>
      </c>
      <c r="M247" s="30">
        <f t="shared" ref="M247:M269" si="25">J247*F247</f>
        <v>19.760000000000002</v>
      </c>
      <c r="N247" s="50">
        <v>16.25</v>
      </c>
      <c r="O247" s="117"/>
      <c r="P247" s="117"/>
      <c r="Q247" s="117">
        <f t="shared" si="19"/>
        <v>19.760000000000002</v>
      </c>
      <c r="R247" s="30">
        <f t="shared" ref="R247:R269" si="26">M247/(1+N247%)</f>
        <v>16.99784946236559</v>
      </c>
      <c r="S247" s="83"/>
      <c r="T247" s="83"/>
      <c r="U247" s="83"/>
      <c r="V247" s="32" t="s">
        <v>64</v>
      </c>
      <c r="W247" s="33">
        <v>1440</v>
      </c>
      <c r="X247" s="30"/>
      <c r="Y247" s="34">
        <f t="shared" si="20"/>
        <v>0</v>
      </c>
      <c r="Z247" s="55"/>
      <c r="AA247" s="9"/>
      <c r="AB247" s="56">
        <v>30042099</v>
      </c>
      <c r="AC247" s="56">
        <v>5</v>
      </c>
    </row>
    <row r="248" spans="1:29" x14ac:dyDescent="0.25">
      <c r="A248" s="37" t="s">
        <v>843</v>
      </c>
      <c r="B248" s="38" t="s">
        <v>847</v>
      </c>
      <c r="C248" s="38"/>
      <c r="D248" s="38" t="s">
        <v>848</v>
      </c>
      <c r="E248" s="38" t="s">
        <v>849</v>
      </c>
      <c r="F248" s="33">
        <v>1</v>
      </c>
      <c r="G248" s="33">
        <v>1</v>
      </c>
      <c r="H248" s="33">
        <f t="shared" ref="H248:H269" si="27">G248*F248</f>
        <v>1</v>
      </c>
      <c r="I248" s="31" t="s">
        <v>83</v>
      </c>
      <c r="J248" s="30">
        <v>11.5</v>
      </c>
      <c r="K248" s="30">
        <v>30.27</v>
      </c>
      <c r="L248" s="31" t="s">
        <v>84</v>
      </c>
      <c r="M248" s="30">
        <f t="shared" si="25"/>
        <v>11.5</v>
      </c>
      <c r="N248" s="50">
        <v>10</v>
      </c>
      <c r="O248" s="117"/>
      <c r="P248" s="117"/>
      <c r="Q248" s="117">
        <f t="shared" si="19"/>
        <v>11.5</v>
      </c>
      <c r="R248" s="30">
        <f t="shared" si="26"/>
        <v>10.454545454545453</v>
      </c>
      <c r="S248" s="83"/>
      <c r="T248" s="83"/>
      <c r="U248" s="83"/>
      <c r="V248" s="32" t="s">
        <v>64</v>
      </c>
      <c r="W248" s="33">
        <v>240</v>
      </c>
      <c r="X248" s="30"/>
      <c r="Y248" s="34">
        <f t="shared" si="20"/>
        <v>0</v>
      </c>
      <c r="Z248" s="55"/>
      <c r="AA248" s="9"/>
      <c r="AB248" s="56">
        <v>30042019</v>
      </c>
      <c r="AC248" s="56">
        <v>5</v>
      </c>
    </row>
    <row r="249" spans="1:29" x14ac:dyDescent="0.25">
      <c r="A249" s="37" t="s">
        <v>843</v>
      </c>
      <c r="B249" s="38" t="s">
        <v>850</v>
      </c>
      <c r="C249" s="38"/>
      <c r="D249" s="38" t="s">
        <v>851</v>
      </c>
      <c r="E249" s="38" t="s">
        <v>852</v>
      </c>
      <c r="F249" s="33">
        <v>1</v>
      </c>
      <c r="G249" s="33">
        <v>1</v>
      </c>
      <c r="H249" s="33">
        <f t="shared" si="27"/>
        <v>1</v>
      </c>
      <c r="I249" s="31" t="s">
        <v>83</v>
      </c>
      <c r="J249" s="30">
        <v>16</v>
      </c>
      <c r="K249" s="30">
        <v>53.7</v>
      </c>
      <c r="L249" s="31" t="s">
        <v>84</v>
      </c>
      <c r="M249" s="30">
        <f t="shared" si="25"/>
        <v>16</v>
      </c>
      <c r="N249" s="50">
        <v>10</v>
      </c>
      <c r="O249" s="117"/>
      <c r="P249" s="117"/>
      <c r="Q249" s="117">
        <f t="shared" si="19"/>
        <v>16</v>
      </c>
      <c r="R249" s="30">
        <f t="shared" si="26"/>
        <v>14.545454545454545</v>
      </c>
      <c r="S249" s="83"/>
      <c r="T249" s="83"/>
      <c r="U249" s="83"/>
      <c r="V249" s="32" t="s">
        <v>64</v>
      </c>
      <c r="W249" s="33">
        <v>240</v>
      </c>
      <c r="X249" s="30"/>
      <c r="Y249" s="34">
        <f t="shared" si="20"/>
        <v>0</v>
      </c>
      <c r="Z249" s="55"/>
      <c r="AA249" s="9"/>
      <c r="AB249" s="56">
        <v>30042019</v>
      </c>
      <c r="AC249" s="56">
        <v>5</v>
      </c>
    </row>
    <row r="250" spans="1:29" x14ac:dyDescent="0.25">
      <c r="A250" s="37" t="s">
        <v>843</v>
      </c>
      <c r="B250" s="38" t="s">
        <v>853</v>
      </c>
      <c r="C250" s="38"/>
      <c r="D250" s="38" t="s">
        <v>854</v>
      </c>
      <c r="E250" s="38" t="s">
        <v>855</v>
      </c>
      <c r="F250" s="33">
        <v>1</v>
      </c>
      <c r="G250" s="33">
        <v>1</v>
      </c>
      <c r="H250" s="33">
        <f t="shared" si="27"/>
        <v>1</v>
      </c>
      <c r="I250" s="31" t="s">
        <v>83</v>
      </c>
      <c r="J250" s="30">
        <v>22</v>
      </c>
      <c r="K250" s="30">
        <v>66.650000000000006</v>
      </c>
      <c r="L250" s="31" t="s">
        <v>84</v>
      </c>
      <c r="M250" s="30">
        <f t="shared" si="25"/>
        <v>22</v>
      </c>
      <c r="N250" s="50">
        <v>25</v>
      </c>
      <c r="O250" s="117"/>
      <c r="P250" s="117"/>
      <c r="Q250" s="117">
        <f t="shared" si="19"/>
        <v>22</v>
      </c>
      <c r="R250" s="30">
        <f t="shared" si="26"/>
        <v>17.600000000000001</v>
      </c>
      <c r="S250" s="83"/>
      <c r="T250" s="83"/>
      <c r="U250" s="83"/>
      <c r="V250" s="32" t="s">
        <v>64</v>
      </c>
      <c r="W250" s="33">
        <v>400</v>
      </c>
      <c r="X250" s="30"/>
      <c r="Y250" s="34">
        <f t="shared" si="20"/>
        <v>0</v>
      </c>
      <c r="Z250" s="55"/>
      <c r="AA250" s="9"/>
      <c r="AB250" s="56">
        <v>30042019</v>
      </c>
      <c r="AC250" s="56">
        <v>5</v>
      </c>
    </row>
    <row r="251" spans="1:29" x14ac:dyDescent="0.25">
      <c r="A251" s="37" t="s">
        <v>843</v>
      </c>
      <c r="B251" s="38" t="s">
        <v>856</v>
      </c>
      <c r="C251" s="38"/>
      <c r="D251" s="38" t="s">
        <v>857</v>
      </c>
      <c r="E251" s="38" t="s">
        <v>858</v>
      </c>
      <c r="F251" s="33">
        <v>1</v>
      </c>
      <c r="G251" s="33">
        <v>1</v>
      </c>
      <c r="H251" s="33">
        <f t="shared" si="27"/>
        <v>1</v>
      </c>
      <c r="I251" s="31" t="s">
        <v>83</v>
      </c>
      <c r="J251" s="30">
        <v>49.61</v>
      </c>
      <c r="K251" s="30">
        <v>257.33999999999997</v>
      </c>
      <c r="L251" s="31" t="s">
        <v>84</v>
      </c>
      <c r="M251" s="30">
        <f t="shared" si="25"/>
        <v>49.61</v>
      </c>
      <c r="N251" s="50">
        <v>89</v>
      </c>
      <c r="O251" s="117"/>
      <c r="P251" s="117"/>
      <c r="Q251" s="117">
        <f t="shared" si="19"/>
        <v>49.61</v>
      </c>
      <c r="R251" s="30">
        <f t="shared" si="26"/>
        <v>26.248677248677247</v>
      </c>
      <c r="S251" s="83"/>
      <c r="T251" s="83"/>
      <c r="U251" s="83"/>
      <c r="V251" s="32" t="s">
        <v>64</v>
      </c>
      <c r="W251" s="33">
        <v>400</v>
      </c>
      <c r="X251" s="30"/>
      <c r="Y251" s="34">
        <f t="shared" si="20"/>
        <v>0</v>
      </c>
      <c r="Z251" s="55"/>
      <c r="AA251" s="9"/>
      <c r="AB251" s="56">
        <v>30042019</v>
      </c>
      <c r="AC251" s="56">
        <v>5</v>
      </c>
    </row>
    <row r="252" spans="1:29" x14ac:dyDescent="0.25">
      <c r="A252" s="37" t="s">
        <v>843</v>
      </c>
      <c r="B252" s="38" t="s">
        <v>859</v>
      </c>
      <c r="C252" s="38"/>
      <c r="D252" s="38" t="s">
        <v>860</v>
      </c>
      <c r="E252" s="38" t="s">
        <v>861</v>
      </c>
      <c r="F252" s="33">
        <v>1</v>
      </c>
      <c r="G252" s="33">
        <v>1</v>
      </c>
      <c r="H252" s="33">
        <f t="shared" si="27"/>
        <v>1</v>
      </c>
      <c r="I252" s="31" t="s">
        <v>862</v>
      </c>
      <c r="J252" s="30">
        <v>3.25</v>
      </c>
      <c r="K252" s="30">
        <v>5.0599999999999996</v>
      </c>
      <c r="L252" s="31" t="s">
        <v>863</v>
      </c>
      <c r="M252" s="30">
        <f t="shared" si="25"/>
        <v>3.25</v>
      </c>
      <c r="N252" s="50">
        <v>8</v>
      </c>
      <c r="O252" s="117"/>
      <c r="P252" s="117"/>
      <c r="Q252" s="117">
        <f t="shared" si="19"/>
        <v>3.25</v>
      </c>
      <c r="R252" s="30">
        <f t="shared" si="26"/>
        <v>3.0092592592592591</v>
      </c>
      <c r="S252" s="83"/>
      <c r="T252" s="83"/>
      <c r="U252" s="83"/>
      <c r="V252" s="32" t="s">
        <v>64</v>
      </c>
      <c r="W252" s="33">
        <v>2000</v>
      </c>
      <c r="X252" s="30"/>
      <c r="Y252" s="34">
        <f t="shared" si="20"/>
        <v>0</v>
      </c>
      <c r="Z252" s="55"/>
      <c r="AA252" s="9"/>
      <c r="AB252" s="56">
        <v>30043919</v>
      </c>
      <c r="AC252" s="56">
        <v>5</v>
      </c>
    </row>
    <row r="253" spans="1:29" x14ac:dyDescent="0.25">
      <c r="A253" s="37" t="s">
        <v>843</v>
      </c>
      <c r="B253" s="38" t="s">
        <v>864</v>
      </c>
      <c r="C253" s="38"/>
      <c r="D253" s="38" t="s">
        <v>865</v>
      </c>
      <c r="E253" s="38" t="s">
        <v>720</v>
      </c>
      <c r="F253" s="33">
        <v>1</v>
      </c>
      <c r="G253" s="33">
        <v>1</v>
      </c>
      <c r="H253" s="33">
        <f>G253*F253</f>
        <v>1</v>
      </c>
      <c r="I253" s="31" t="s">
        <v>83</v>
      </c>
      <c r="J253" s="30">
        <v>100</v>
      </c>
      <c r="K253" s="30">
        <v>382.25</v>
      </c>
      <c r="L253" s="31" t="s">
        <v>721</v>
      </c>
      <c r="M253" s="30">
        <f t="shared" si="25"/>
        <v>100</v>
      </c>
      <c r="N253" s="50">
        <v>45</v>
      </c>
      <c r="O253" s="117"/>
      <c r="P253" s="117"/>
      <c r="Q253" s="117">
        <f t="shared" si="19"/>
        <v>100</v>
      </c>
      <c r="R253" s="30">
        <f t="shared" si="26"/>
        <v>68.965517241379317</v>
      </c>
      <c r="S253" s="83"/>
      <c r="T253" s="83"/>
      <c r="U253" s="83"/>
      <c r="V253" s="32" t="s">
        <v>64</v>
      </c>
      <c r="W253" s="33">
        <v>120</v>
      </c>
      <c r="X253" s="30"/>
      <c r="Y253" s="34">
        <f t="shared" si="20"/>
        <v>0</v>
      </c>
      <c r="Z253" s="55"/>
      <c r="AA253" s="9"/>
      <c r="AB253" s="56">
        <v>30042099</v>
      </c>
      <c r="AC253" s="56">
        <v>5</v>
      </c>
    </row>
    <row r="254" spans="1:29" ht="33.75" x14ac:dyDescent="0.25">
      <c r="A254" s="37" t="s">
        <v>843</v>
      </c>
      <c r="B254" s="38" t="s">
        <v>866</v>
      </c>
      <c r="C254" s="38"/>
      <c r="D254" s="38" t="s">
        <v>867</v>
      </c>
      <c r="E254" s="44" t="s">
        <v>147</v>
      </c>
      <c r="F254" s="33">
        <v>1</v>
      </c>
      <c r="G254" s="33">
        <v>1</v>
      </c>
      <c r="H254" s="33">
        <f t="shared" si="27"/>
        <v>1</v>
      </c>
      <c r="I254" s="31" t="s">
        <v>868</v>
      </c>
      <c r="J254" s="30">
        <v>10.8</v>
      </c>
      <c r="K254" s="30">
        <v>16.670000000000002</v>
      </c>
      <c r="L254" s="31" t="s">
        <v>868</v>
      </c>
      <c r="M254" s="30">
        <f t="shared" si="25"/>
        <v>10.8</v>
      </c>
      <c r="N254" s="50">
        <v>0</v>
      </c>
      <c r="O254" s="117"/>
      <c r="P254" s="117"/>
      <c r="Q254" s="117">
        <f t="shared" si="19"/>
        <v>10.8</v>
      </c>
      <c r="R254" s="30">
        <f t="shared" si="26"/>
        <v>10.8</v>
      </c>
      <c r="S254" s="83"/>
      <c r="T254" s="83"/>
      <c r="U254" s="83"/>
      <c r="V254" s="32" t="s">
        <v>64</v>
      </c>
      <c r="W254" s="33">
        <v>480</v>
      </c>
      <c r="X254" s="30"/>
      <c r="Y254" s="34">
        <f t="shared" si="20"/>
        <v>0</v>
      </c>
      <c r="Z254" s="55"/>
      <c r="AA254" s="9"/>
      <c r="AB254" s="56">
        <v>30043913</v>
      </c>
      <c r="AC254" s="56">
        <v>5</v>
      </c>
    </row>
    <row r="255" spans="1:29" ht="33.75" x14ac:dyDescent="0.25">
      <c r="A255" s="37" t="s">
        <v>843</v>
      </c>
      <c r="B255" s="38" t="s">
        <v>869</v>
      </c>
      <c r="C255" s="38"/>
      <c r="D255" s="38" t="s">
        <v>870</v>
      </c>
      <c r="E255" s="44" t="s">
        <v>147</v>
      </c>
      <c r="F255" s="33">
        <v>1</v>
      </c>
      <c r="G255" s="33">
        <v>1</v>
      </c>
      <c r="H255" s="33">
        <f t="shared" si="27"/>
        <v>1</v>
      </c>
      <c r="I255" s="31" t="s">
        <v>871</v>
      </c>
      <c r="J255" s="36">
        <v>20.55</v>
      </c>
      <c r="K255" s="36">
        <v>28.815969028000001</v>
      </c>
      <c r="L255" s="31" t="s">
        <v>871</v>
      </c>
      <c r="M255" s="30">
        <f t="shared" si="25"/>
        <v>20.55</v>
      </c>
      <c r="N255" s="50">
        <v>5</v>
      </c>
      <c r="O255" s="117"/>
      <c r="P255" s="117"/>
      <c r="Q255" s="117">
        <f t="shared" si="19"/>
        <v>20.55</v>
      </c>
      <c r="R255" s="30">
        <f t="shared" si="26"/>
        <v>19.571428571428573</v>
      </c>
      <c r="S255" s="83">
        <v>18.600000000000001</v>
      </c>
      <c r="T255" s="83">
        <v>20.46</v>
      </c>
      <c r="U255" s="83">
        <v>21.39</v>
      </c>
      <c r="V255" s="32"/>
      <c r="W255" s="33">
        <v>288</v>
      </c>
      <c r="X255" s="30"/>
      <c r="Y255" s="34">
        <f t="shared" si="20"/>
        <v>0</v>
      </c>
      <c r="Z255" s="55"/>
      <c r="AA255" s="9"/>
      <c r="AB255" s="56">
        <v>30043913</v>
      </c>
      <c r="AC255" s="56">
        <v>5</v>
      </c>
    </row>
    <row r="256" spans="1:29" x14ac:dyDescent="0.25">
      <c r="A256" s="37" t="s">
        <v>843</v>
      </c>
      <c r="B256" s="38" t="s">
        <v>872</v>
      </c>
      <c r="C256" s="38"/>
      <c r="D256" s="38" t="s">
        <v>873</v>
      </c>
      <c r="E256" s="44" t="s">
        <v>874</v>
      </c>
      <c r="F256" s="33">
        <v>1</v>
      </c>
      <c r="G256" s="33">
        <v>1</v>
      </c>
      <c r="H256" s="33">
        <f t="shared" si="27"/>
        <v>1</v>
      </c>
      <c r="I256" s="31" t="s">
        <v>875</v>
      </c>
      <c r="J256" s="30">
        <v>3</v>
      </c>
      <c r="K256" s="30">
        <v>30.13</v>
      </c>
      <c r="L256" s="31" t="s">
        <v>876</v>
      </c>
      <c r="M256" s="30">
        <f t="shared" si="25"/>
        <v>3</v>
      </c>
      <c r="N256" s="50">
        <v>10</v>
      </c>
      <c r="O256" s="117"/>
      <c r="P256" s="117"/>
      <c r="Q256" s="117">
        <f t="shared" si="19"/>
        <v>3</v>
      </c>
      <c r="R256" s="30">
        <f t="shared" si="26"/>
        <v>2.7272727272727271</v>
      </c>
      <c r="S256" s="83"/>
      <c r="T256" s="83"/>
      <c r="U256" s="83"/>
      <c r="V256" s="32" t="s">
        <v>64</v>
      </c>
      <c r="W256" s="33">
        <v>2000</v>
      </c>
      <c r="X256" s="30"/>
      <c r="Y256" s="34">
        <f t="shared" si="20"/>
        <v>0</v>
      </c>
      <c r="Z256" s="55"/>
      <c r="AA256" s="9"/>
      <c r="AB256" s="56">
        <v>30049069</v>
      </c>
      <c r="AC256" s="56">
        <v>5</v>
      </c>
    </row>
    <row r="257" spans="1:29" ht="22.5" x14ac:dyDescent="0.25">
      <c r="A257" s="37" t="s">
        <v>843</v>
      </c>
      <c r="B257" s="64" t="s">
        <v>877</v>
      </c>
      <c r="C257" s="64"/>
      <c r="D257" s="38" t="s">
        <v>878</v>
      </c>
      <c r="E257" s="44" t="s">
        <v>879</v>
      </c>
      <c r="F257" s="33">
        <v>1</v>
      </c>
      <c r="G257" s="33">
        <v>1</v>
      </c>
      <c r="H257" s="33">
        <f t="shared" si="27"/>
        <v>1</v>
      </c>
      <c r="I257" s="31" t="s">
        <v>880</v>
      </c>
      <c r="J257" s="30">
        <v>3</v>
      </c>
      <c r="K257" s="30">
        <v>5.42</v>
      </c>
      <c r="L257" s="31" t="s">
        <v>876</v>
      </c>
      <c r="M257" s="30">
        <f t="shared" si="25"/>
        <v>3</v>
      </c>
      <c r="N257" s="50">
        <v>10</v>
      </c>
      <c r="O257" s="117"/>
      <c r="P257" s="117"/>
      <c r="Q257" s="117">
        <f t="shared" si="19"/>
        <v>3</v>
      </c>
      <c r="R257" s="30">
        <f t="shared" si="26"/>
        <v>2.7272727272727271</v>
      </c>
      <c r="S257" s="83"/>
      <c r="T257" s="83"/>
      <c r="U257" s="83"/>
      <c r="V257" s="32" t="s">
        <v>64</v>
      </c>
      <c r="W257" s="33">
        <v>1500</v>
      </c>
      <c r="X257" s="30"/>
      <c r="Y257" s="34">
        <f t="shared" si="20"/>
        <v>0</v>
      </c>
      <c r="Z257" s="55"/>
      <c r="AA257" s="9"/>
      <c r="AB257" s="56">
        <v>30049069</v>
      </c>
      <c r="AC257" s="56">
        <v>5</v>
      </c>
    </row>
    <row r="258" spans="1:29" x14ac:dyDescent="0.25">
      <c r="A258" s="37" t="s">
        <v>843</v>
      </c>
      <c r="B258" s="38" t="s">
        <v>881</v>
      </c>
      <c r="C258" s="38"/>
      <c r="D258" s="38" t="s">
        <v>882</v>
      </c>
      <c r="E258" s="44" t="s">
        <v>883</v>
      </c>
      <c r="F258" s="33">
        <v>1</v>
      </c>
      <c r="G258" s="33">
        <v>1</v>
      </c>
      <c r="H258" s="33">
        <f t="shared" si="27"/>
        <v>1</v>
      </c>
      <c r="I258" s="31" t="s">
        <v>884</v>
      </c>
      <c r="J258" s="30">
        <v>3.5</v>
      </c>
      <c r="K258" s="30">
        <v>17.53</v>
      </c>
      <c r="L258" s="31" t="s">
        <v>885</v>
      </c>
      <c r="M258" s="30">
        <f t="shared" si="25"/>
        <v>3.5</v>
      </c>
      <c r="N258" s="50">
        <v>15</v>
      </c>
      <c r="O258" s="117"/>
      <c r="P258" s="117"/>
      <c r="Q258" s="117">
        <f t="shared" si="19"/>
        <v>3.5</v>
      </c>
      <c r="R258" s="30">
        <f t="shared" si="26"/>
        <v>3.0434782608695654</v>
      </c>
      <c r="S258" s="83"/>
      <c r="T258" s="83"/>
      <c r="U258" s="83"/>
      <c r="V258" s="32" t="s">
        <v>64</v>
      </c>
      <c r="W258" s="33">
        <v>2000</v>
      </c>
      <c r="X258" s="30"/>
      <c r="Y258" s="34">
        <f t="shared" si="20"/>
        <v>0</v>
      </c>
      <c r="Z258" s="55"/>
      <c r="AA258" s="9"/>
      <c r="AB258" s="56">
        <v>30049099</v>
      </c>
      <c r="AC258" s="56">
        <v>5</v>
      </c>
    </row>
    <row r="259" spans="1:29" ht="22.5" x14ac:dyDescent="0.25">
      <c r="A259" s="37" t="s">
        <v>843</v>
      </c>
      <c r="B259" s="38" t="s">
        <v>886</v>
      </c>
      <c r="C259" s="38"/>
      <c r="D259" s="38" t="s">
        <v>887</v>
      </c>
      <c r="E259" s="44" t="s">
        <v>888</v>
      </c>
      <c r="F259" s="33">
        <v>1</v>
      </c>
      <c r="G259" s="33">
        <v>1</v>
      </c>
      <c r="H259" s="33">
        <f t="shared" si="27"/>
        <v>1</v>
      </c>
      <c r="I259" s="31" t="s">
        <v>868</v>
      </c>
      <c r="J259" s="30">
        <v>13</v>
      </c>
      <c r="K259" s="36">
        <v>16.234774028</v>
      </c>
      <c r="L259" s="31" t="s">
        <v>868</v>
      </c>
      <c r="M259" s="30">
        <f t="shared" si="25"/>
        <v>13</v>
      </c>
      <c r="N259" s="50">
        <v>0</v>
      </c>
      <c r="O259" s="117"/>
      <c r="P259" s="117"/>
      <c r="Q259" s="117">
        <f t="shared" si="19"/>
        <v>13</v>
      </c>
      <c r="R259" s="30">
        <f t="shared" si="26"/>
        <v>13</v>
      </c>
      <c r="S259" s="83">
        <v>13.66</v>
      </c>
      <c r="T259" s="83">
        <v>15.026</v>
      </c>
      <c r="U259" s="83">
        <v>15.709</v>
      </c>
      <c r="V259" s="32"/>
      <c r="W259" s="33">
        <v>480</v>
      </c>
      <c r="X259" s="30"/>
      <c r="Y259" s="34">
        <f t="shared" si="20"/>
        <v>0</v>
      </c>
      <c r="Z259" s="55"/>
      <c r="AA259" s="9"/>
      <c r="AB259" s="56">
        <v>30049087</v>
      </c>
      <c r="AC259" s="56">
        <v>5</v>
      </c>
    </row>
    <row r="260" spans="1:29" ht="22.5" x14ac:dyDescent="0.25">
      <c r="A260" s="37" t="s">
        <v>843</v>
      </c>
      <c r="B260" s="38" t="s">
        <v>889</v>
      </c>
      <c r="C260" s="38"/>
      <c r="D260" s="38" t="s">
        <v>890</v>
      </c>
      <c r="E260" s="44" t="s">
        <v>888</v>
      </c>
      <c r="F260" s="33">
        <v>1</v>
      </c>
      <c r="G260" s="33">
        <v>1</v>
      </c>
      <c r="H260" s="33">
        <f t="shared" si="27"/>
        <v>1</v>
      </c>
      <c r="I260" s="31" t="s">
        <v>891</v>
      </c>
      <c r="J260" s="36">
        <v>22.35</v>
      </c>
      <c r="K260" s="36">
        <v>33.123770195999995</v>
      </c>
      <c r="L260" s="31" t="s">
        <v>891</v>
      </c>
      <c r="M260" s="30">
        <f t="shared" si="25"/>
        <v>22.35</v>
      </c>
      <c r="N260" s="50">
        <v>5</v>
      </c>
      <c r="O260" s="117"/>
      <c r="P260" s="117"/>
      <c r="Q260" s="117">
        <f t="shared" si="19"/>
        <v>22.35</v>
      </c>
      <c r="R260" s="30">
        <f t="shared" si="26"/>
        <v>21.285714285714285</v>
      </c>
      <c r="S260" s="83">
        <v>20.41</v>
      </c>
      <c r="T260" s="83">
        <v>22.45</v>
      </c>
      <c r="U260" s="83">
        <v>23.47</v>
      </c>
      <c r="V260" s="32"/>
      <c r="W260" s="33">
        <v>288</v>
      </c>
      <c r="X260" s="30"/>
      <c r="Y260" s="34">
        <f t="shared" si="20"/>
        <v>0</v>
      </c>
      <c r="Z260" s="55"/>
      <c r="AA260" s="9"/>
      <c r="AB260" s="56">
        <v>30049087</v>
      </c>
      <c r="AC260" s="56">
        <v>5</v>
      </c>
    </row>
    <row r="261" spans="1:29" x14ac:dyDescent="0.25">
      <c r="A261" s="37" t="s">
        <v>843</v>
      </c>
      <c r="B261" s="38" t="s">
        <v>892</v>
      </c>
      <c r="C261" s="38"/>
      <c r="D261" s="38" t="s">
        <v>893</v>
      </c>
      <c r="E261" s="38" t="s">
        <v>894</v>
      </c>
      <c r="F261" s="33">
        <v>1</v>
      </c>
      <c r="G261" s="33">
        <v>1</v>
      </c>
      <c r="H261" s="33">
        <f t="shared" si="27"/>
        <v>1</v>
      </c>
      <c r="I261" s="31" t="s">
        <v>875</v>
      </c>
      <c r="J261" s="36">
        <v>13.67</v>
      </c>
      <c r="K261" s="30">
        <v>270.94</v>
      </c>
      <c r="L261" s="31" t="s">
        <v>895</v>
      </c>
      <c r="M261" s="30">
        <f t="shared" si="25"/>
        <v>13.67</v>
      </c>
      <c r="N261" s="50">
        <v>14.000000000000002</v>
      </c>
      <c r="O261" s="117"/>
      <c r="P261" s="117"/>
      <c r="Q261" s="117">
        <f t="shared" si="19"/>
        <v>13.67</v>
      </c>
      <c r="R261" s="30">
        <f t="shared" si="26"/>
        <v>11.991228070175437</v>
      </c>
      <c r="S261" s="83"/>
      <c r="T261" s="83"/>
      <c r="U261" s="83"/>
      <c r="V261" s="32" t="s">
        <v>64</v>
      </c>
      <c r="W261" s="33">
        <v>400</v>
      </c>
      <c r="X261" s="30"/>
      <c r="Y261" s="34">
        <f t="shared" si="20"/>
        <v>0</v>
      </c>
      <c r="Z261" s="55"/>
      <c r="AA261" s="9"/>
      <c r="AB261" s="56">
        <v>30041020</v>
      </c>
      <c r="AC261" s="56">
        <v>5</v>
      </c>
    </row>
    <row r="262" spans="1:29" x14ac:dyDescent="0.25">
      <c r="A262" s="37" t="s">
        <v>843</v>
      </c>
      <c r="B262" s="38" t="s">
        <v>896</v>
      </c>
      <c r="C262" s="38"/>
      <c r="D262" s="38" t="s">
        <v>897</v>
      </c>
      <c r="E262" s="38" t="s">
        <v>898</v>
      </c>
      <c r="F262" s="33">
        <v>1</v>
      </c>
      <c r="G262" s="33">
        <v>1</v>
      </c>
      <c r="H262" s="33">
        <f t="shared" si="27"/>
        <v>1</v>
      </c>
      <c r="I262" s="31" t="s">
        <v>875</v>
      </c>
      <c r="J262" s="30">
        <v>16.28</v>
      </c>
      <c r="K262" s="30">
        <v>356.63</v>
      </c>
      <c r="L262" s="31" t="s">
        <v>895</v>
      </c>
      <c r="M262" s="30">
        <f t="shared" si="25"/>
        <v>16.28</v>
      </c>
      <c r="N262" s="50">
        <v>15</v>
      </c>
      <c r="O262" s="117"/>
      <c r="P262" s="117"/>
      <c r="Q262" s="117">
        <f t="shared" si="19"/>
        <v>16.28</v>
      </c>
      <c r="R262" s="30">
        <f t="shared" si="26"/>
        <v>14.156521739130437</v>
      </c>
      <c r="S262" s="83"/>
      <c r="T262" s="83"/>
      <c r="U262" s="83"/>
      <c r="V262" s="32" t="s">
        <v>64</v>
      </c>
      <c r="W262" s="33">
        <v>400</v>
      </c>
      <c r="X262" s="30"/>
      <c r="Y262" s="34">
        <f t="shared" si="20"/>
        <v>0</v>
      </c>
      <c r="Z262" s="55"/>
      <c r="AA262" s="9"/>
      <c r="AB262" s="56">
        <v>30041020</v>
      </c>
      <c r="AC262" s="56">
        <v>5</v>
      </c>
    </row>
    <row r="263" spans="1:29" x14ac:dyDescent="0.25">
      <c r="A263" s="37" t="s">
        <v>843</v>
      </c>
      <c r="B263" s="41" t="s">
        <v>899</v>
      </c>
      <c r="C263" s="41"/>
      <c r="D263" s="38" t="s">
        <v>900</v>
      </c>
      <c r="E263" s="44" t="s">
        <v>901</v>
      </c>
      <c r="F263" s="33">
        <v>1</v>
      </c>
      <c r="G263" s="33">
        <v>1</v>
      </c>
      <c r="H263" s="33">
        <f t="shared" si="27"/>
        <v>1</v>
      </c>
      <c r="I263" s="31" t="s">
        <v>234</v>
      </c>
      <c r="J263" s="36">
        <v>11.75</v>
      </c>
      <c r="K263" s="30">
        <v>23.03</v>
      </c>
      <c r="L263" s="31" t="s">
        <v>234</v>
      </c>
      <c r="M263" s="30">
        <f t="shared" si="25"/>
        <v>11.75</v>
      </c>
      <c r="N263" s="50">
        <v>0</v>
      </c>
      <c r="O263" s="117"/>
      <c r="P263" s="117"/>
      <c r="Q263" s="117">
        <f t="shared" si="19"/>
        <v>11.75</v>
      </c>
      <c r="R263" s="30">
        <f t="shared" si="26"/>
        <v>11.75</v>
      </c>
      <c r="S263" s="83"/>
      <c r="T263" s="83"/>
      <c r="U263" s="83"/>
      <c r="V263" s="32" t="s">
        <v>64</v>
      </c>
      <c r="W263" s="33">
        <v>150</v>
      </c>
      <c r="X263" s="30"/>
      <c r="Y263" s="34">
        <f t="shared" si="20"/>
        <v>0</v>
      </c>
      <c r="Z263" s="55"/>
      <c r="AA263" s="9"/>
      <c r="AB263" s="56">
        <v>30039034</v>
      </c>
      <c r="AC263" s="56">
        <v>5.0000000000000009</v>
      </c>
    </row>
    <row r="264" spans="1:29" ht="22.5" x14ac:dyDescent="0.25">
      <c r="A264" s="37" t="s">
        <v>843</v>
      </c>
      <c r="B264" s="38" t="s">
        <v>902</v>
      </c>
      <c r="C264" s="38"/>
      <c r="D264" s="38" t="s">
        <v>903</v>
      </c>
      <c r="E264" s="44" t="s">
        <v>904</v>
      </c>
      <c r="F264" s="33">
        <v>1</v>
      </c>
      <c r="G264" s="33">
        <v>1</v>
      </c>
      <c r="H264" s="33">
        <f t="shared" si="27"/>
        <v>1</v>
      </c>
      <c r="I264" s="31" t="s">
        <v>905</v>
      </c>
      <c r="J264" s="30">
        <v>17.45</v>
      </c>
      <c r="K264" s="30">
        <v>47.85</v>
      </c>
      <c r="L264" s="31" t="s">
        <v>905</v>
      </c>
      <c r="M264" s="30">
        <f t="shared" si="25"/>
        <v>17.45</v>
      </c>
      <c r="N264" s="50">
        <v>5</v>
      </c>
      <c r="O264" s="117"/>
      <c r="P264" s="117"/>
      <c r="Q264" s="117">
        <f t="shared" ref="Q264:Q273" si="28">M264-O264-P264</f>
        <v>17.45</v>
      </c>
      <c r="R264" s="30">
        <f t="shared" si="26"/>
        <v>16.619047619047617</v>
      </c>
      <c r="S264" s="83"/>
      <c r="T264" s="83"/>
      <c r="U264" s="83"/>
      <c r="V264" s="32" t="s">
        <v>64</v>
      </c>
      <c r="W264" s="33">
        <v>384</v>
      </c>
      <c r="X264" s="30"/>
      <c r="Y264" s="34">
        <f t="shared" si="20"/>
        <v>0</v>
      </c>
      <c r="Z264" s="55"/>
      <c r="AA264" s="9"/>
      <c r="AB264" s="56">
        <v>30043200</v>
      </c>
      <c r="AC264" s="56">
        <v>5</v>
      </c>
    </row>
    <row r="265" spans="1:29" x14ac:dyDescent="0.25">
      <c r="A265" s="37" t="s">
        <v>843</v>
      </c>
      <c r="B265" s="38" t="s">
        <v>906</v>
      </c>
      <c r="C265" s="38"/>
      <c r="D265" s="38" t="s">
        <v>907</v>
      </c>
      <c r="E265" s="44" t="s">
        <v>908</v>
      </c>
      <c r="F265" s="33">
        <v>1</v>
      </c>
      <c r="G265" s="33">
        <v>1</v>
      </c>
      <c r="H265" s="33">
        <f t="shared" si="27"/>
        <v>1</v>
      </c>
      <c r="I265" s="31" t="s">
        <v>884</v>
      </c>
      <c r="J265" s="30">
        <v>3.5</v>
      </c>
      <c r="K265" s="30">
        <v>8.48</v>
      </c>
      <c r="L265" s="31" t="s">
        <v>884</v>
      </c>
      <c r="M265" s="30">
        <f t="shared" si="25"/>
        <v>3.5</v>
      </c>
      <c r="N265" s="50">
        <v>20</v>
      </c>
      <c r="O265" s="117"/>
      <c r="P265" s="117"/>
      <c r="Q265" s="117">
        <f t="shared" si="28"/>
        <v>3.5</v>
      </c>
      <c r="R265" s="30">
        <f t="shared" si="26"/>
        <v>2.916666666666667</v>
      </c>
      <c r="S265" s="83"/>
      <c r="T265" s="83"/>
      <c r="U265" s="83"/>
      <c r="V265" s="32" t="s">
        <v>64</v>
      </c>
      <c r="W265" s="33">
        <v>2000</v>
      </c>
      <c r="X265" s="30"/>
      <c r="Y265" s="34">
        <f t="shared" si="20"/>
        <v>0</v>
      </c>
      <c r="Z265" s="55"/>
      <c r="AA265" s="9"/>
      <c r="AB265" s="56">
        <v>30049069</v>
      </c>
      <c r="AC265" s="56">
        <v>5</v>
      </c>
    </row>
    <row r="266" spans="1:29" ht="22.5" x14ac:dyDescent="0.25">
      <c r="A266" s="37" t="s">
        <v>843</v>
      </c>
      <c r="B266" s="38" t="s">
        <v>909</v>
      </c>
      <c r="C266" s="38"/>
      <c r="D266" s="38" t="s">
        <v>910</v>
      </c>
      <c r="E266" s="44" t="s">
        <v>911</v>
      </c>
      <c r="F266" s="33">
        <v>1</v>
      </c>
      <c r="G266" s="33">
        <v>1</v>
      </c>
      <c r="H266" s="33">
        <f t="shared" si="27"/>
        <v>1</v>
      </c>
      <c r="I266" s="31" t="s">
        <v>912</v>
      </c>
      <c r="J266" s="30">
        <v>59.009999999999991</v>
      </c>
      <c r="K266" s="30">
        <v>279.42</v>
      </c>
      <c r="L266" s="31" t="s">
        <v>913</v>
      </c>
      <c r="M266" s="30">
        <f t="shared" si="25"/>
        <v>59.009999999999991</v>
      </c>
      <c r="N266" s="50">
        <v>80</v>
      </c>
      <c r="O266" s="117"/>
      <c r="P266" s="117"/>
      <c r="Q266" s="117">
        <f t="shared" si="28"/>
        <v>59.009999999999991</v>
      </c>
      <c r="R266" s="30">
        <f t="shared" si="26"/>
        <v>32.783333333333324</v>
      </c>
      <c r="S266" s="83"/>
      <c r="T266" s="83"/>
      <c r="U266" s="83"/>
      <c r="V266" s="32" t="s">
        <v>64</v>
      </c>
      <c r="W266" s="33">
        <v>240</v>
      </c>
      <c r="X266" s="30"/>
      <c r="Y266" s="34">
        <f t="shared" si="20"/>
        <v>0</v>
      </c>
      <c r="Z266" s="55"/>
      <c r="AA266" s="9"/>
      <c r="AB266" s="56">
        <v>30042019</v>
      </c>
      <c r="AC266" s="56">
        <v>5</v>
      </c>
    </row>
    <row r="267" spans="1:29" x14ac:dyDescent="0.25">
      <c r="A267" s="37" t="s">
        <v>843</v>
      </c>
      <c r="B267" s="38" t="s">
        <v>914</v>
      </c>
      <c r="C267" s="38"/>
      <c r="D267" s="38" t="s">
        <v>915</v>
      </c>
      <c r="E267" s="44" t="s">
        <v>916</v>
      </c>
      <c r="F267" s="33">
        <v>50</v>
      </c>
      <c r="G267" s="33">
        <v>1</v>
      </c>
      <c r="H267" s="33">
        <f t="shared" si="27"/>
        <v>50</v>
      </c>
      <c r="I267" s="31" t="s">
        <v>884</v>
      </c>
      <c r="J267" s="30">
        <v>4.5</v>
      </c>
      <c r="K267" s="30">
        <v>20.98</v>
      </c>
      <c r="L267" s="31" t="s">
        <v>917</v>
      </c>
      <c r="M267" s="30">
        <f t="shared" si="25"/>
        <v>225</v>
      </c>
      <c r="N267" s="50">
        <v>10</v>
      </c>
      <c r="O267" s="117"/>
      <c r="P267" s="117"/>
      <c r="Q267" s="117">
        <f t="shared" si="28"/>
        <v>225</v>
      </c>
      <c r="R267" s="30">
        <f t="shared" si="26"/>
        <v>204.54545454545453</v>
      </c>
      <c r="S267" s="83"/>
      <c r="T267" s="83"/>
      <c r="U267" s="83"/>
      <c r="V267" s="32" t="s">
        <v>64</v>
      </c>
      <c r="W267" s="33">
        <v>40</v>
      </c>
      <c r="X267" s="30"/>
      <c r="Y267" s="34">
        <f t="shared" ref="Y267:Y272" si="29">(X267*R267)/100000</f>
        <v>0</v>
      </c>
      <c r="Z267" s="55"/>
      <c r="AA267" s="9"/>
      <c r="AB267" s="56">
        <v>30049099</v>
      </c>
      <c r="AC267" s="56">
        <v>5.0000000000000009</v>
      </c>
    </row>
    <row r="268" spans="1:29" x14ac:dyDescent="0.25">
      <c r="A268" s="37" t="s">
        <v>843</v>
      </c>
      <c r="B268" s="38" t="s">
        <v>918</v>
      </c>
      <c r="C268" s="38"/>
      <c r="D268" s="38" t="s">
        <v>919</v>
      </c>
      <c r="E268" s="44" t="s">
        <v>920</v>
      </c>
      <c r="F268" s="33">
        <v>50</v>
      </c>
      <c r="G268" s="33">
        <v>1</v>
      </c>
      <c r="H268" s="33">
        <f t="shared" si="27"/>
        <v>50</v>
      </c>
      <c r="I268" s="31" t="s">
        <v>567</v>
      </c>
      <c r="J268" s="30">
        <v>13.35</v>
      </c>
      <c r="K268" s="30">
        <v>73.230110037000017</v>
      </c>
      <c r="L268" s="31" t="s">
        <v>921</v>
      </c>
      <c r="M268" s="30">
        <f t="shared" si="25"/>
        <v>667.5</v>
      </c>
      <c r="N268" s="50">
        <v>22</v>
      </c>
      <c r="O268" s="117"/>
      <c r="P268" s="117"/>
      <c r="Q268" s="117">
        <f t="shared" si="28"/>
        <v>667.5</v>
      </c>
      <c r="R268" s="30">
        <f t="shared" si="26"/>
        <v>547.13114754098365</v>
      </c>
      <c r="S268" s="83"/>
      <c r="T268" s="83"/>
      <c r="U268" s="83"/>
      <c r="V268" s="32" t="s">
        <v>64</v>
      </c>
      <c r="W268" s="33">
        <v>8</v>
      </c>
      <c r="X268" s="30"/>
      <c r="Y268" s="34">
        <f t="shared" si="29"/>
        <v>0</v>
      </c>
      <c r="Z268" s="55"/>
      <c r="AA268" s="9"/>
      <c r="AB268" s="56">
        <v>30049099</v>
      </c>
      <c r="AC268" s="56">
        <v>5</v>
      </c>
    </row>
    <row r="269" spans="1:29" x14ac:dyDescent="0.25">
      <c r="A269" s="37" t="s">
        <v>843</v>
      </c>
      <c r="B269" s="38" t="s">
        <v>922</v>
      </c>
      <c r="C269" s="38"/>
      <c r="D269" s="38" t="s">
        <v>923</v>
      </c>
      <c r="E269" s="44" t="s">
        <v>924</v>
      </c>
      <c r="F269" s="33">
        <v>10</v>
      </c>
      <c r="G269" s="33">
        <v>1</v>
      </c>
      <c r="H269" s="33">
        <f t="shared" si="27"/>
        <v>10</v>
      </c>
      <c r="I269" s="31" t="s">
        <v>884</v>
      </c>
      <c r="J269" s="30">
        <v>5.3</v>
      </c>
      <c r="K269" s="30">
        <v>7.07</v>
      </c>
      <c r="L269" s="31" t="s">
        <v>925</v>
      </c>
      <c r="M269" s="30">
        <f t="shared" si="25"/>
        <v>53</v>
      </c>
      <c r="N269" s="50">
        <v>110.00000000000001</v>
      </c>
      <c r="O269" s="117"/>
      <c r="P269" s="117"/>
      <c r="Q269" s="117">
        <f t="shared" si="28"/>
        <v>53</v>
      </c>
      <c r="R269" s="30">
        <f t="shared" si="26"/>
        <v>25.238095238095237</v>
      </c>
      <c r="S269" s="83"/>
      <c r="T269" s="83"/>
      <c r="U269" s="83"/>
      <c r="V269" s="32" t="s">
        <v>64</v>
      </c>
      <c r="W269" s="33">
        <v>50</v>
      </c>
      <c r="X269" s="30"/>
      <c r="Y269" s="34">
        <f t="shared" si="29"/>
        <v>0</v>
      </c>
      <c r="Z269" s="55"/>
      <c r="AA269" s="9"/>
      <c r="AB269" s="56">
        <v>30049039</v>
      </c>
      <c r="AC269" s="56">
        <v>5</v>
      </c>
    </row>
    <row r="270" spans="1:29" x14ac:dyDescent="0.25">
      <c r="A270" s="37"/>
      <c r="B270" s="62" t="s">
        <v>926</v>
      </c>
      <c r="C270" s="62"/>
      <c r="D270" s="38"/>
      <c r="E270" s="44"/>
      <c r="F270" s="33"/>
      <c r="G270" s="33"/>
      <c r="H270" s="33"/>
      <c r="I270" s="31"/>
      <c r="J270" s="30">
        <v>0</v>
      </c>
      <c r="K270" s="30">
        <v>0</v>
      </c>
      <c r="L270" s="31"/>
      <c r="M270" s="30"/>
      <c r="N270" s="50">
        <v>0</v>
      </c>
      <c r="O270" s="117"/>
      <c r="P270" s="117"/>
      <c r="Q270" s="117">
        <f t="shared" si="28"/>
        <v>0</v>
      </c>
      <c r="R270" s="30"/>
      <c r="S270" s="83"/>
      <c r="T270" s="83"/>
      <c r="U270" s="83"/>
      <c r="V270" s="32"/>
      <c r="W270" s="33">
        <v>0</v>
      </c>
      <c r="X270" s="30"/>
      <c r="Y270" s="34">
        <f t="shared" si="29"/>
        <v>0</v>
      </c>
      <c r="Z270" s="55"/>
      <c r="AA270" s="9"/>
      <c r="AB270" s="56"/>
      <c r="AC270" s="56"/>
    </row>
    <row r="271" spans="1:29" ht="15.75" thickBot="1" x14ac:dyDescent="0.3">
      <c r="A271" s="37" t="s">
        <v>927</v>
      </c>
      <c r="B271" s="38" t="s">
        <v>928</v>
      </c>
      <c r="C271" s="38"/>
      <c r="D271" s="38" t="s">
        <v>929</v>
      </c>
      <c r="E271" s="38" t="s">
        <v>930</v>
      </c>
      <c r="F271" s="33">
        <v>1</v>
      </c>
      <c r="G271" s="33">
        <v>1</v>
      </c>
      <c r="H271" s="33">
        <f>G271*F271</f>
        <v>1</v>
      </c>
      <c r="I271" s="31" t="s">
        <v>931</v>
      </c>
      <c r="J271" s="36">
        <v>40.4</v>
      </c>
      <c r="K271" s="30">
        <v>154.55000000000001</v>
      </c>
      <c r="L271" s="31" t="s">
        <v>931</v>
      </c>
      <c r="M271" s="30">
        <f t="shared" ref="M271:M272" si="30">J271*F271</f>
        <v>40.4</v>
      </c>
      <c r="N271" s="50">
        <v>0</v>
      </c>
      <c r="O271" s="117"/>
      <c r="P271" s="117"/>
      <c r="Q271" s="117">
        <f t="shared" si="28"/>
        <v>40.4</v>
      </c>
      <c r="R271" s="30">
        <f>M271/(1+N271%)</f>
        <v>40.4</v>
      </c>
      <c r="S271" s="86">
        <v>42</v>
      </c>
      <c r="T271" s="84">
        <v>46.2</v>
      </c>
      <c r="U271" s="83">
        <v>48.3</v>
      </c>
      <c r="V271" s="32"/>
      <c r="W271" s="33">
        <v>540</v>
      </c>
      <c r="X271" s="30"/>
      <c r="Y271" s="34">
        <f t="shared" si="29"/>
        <v>0</v>
      </c>
      <c r="Z271" s="55"/>
      <c r="AA271" s="9" t="s">
        <v>932</v>
      </c>
      <c r="AB271" s="56">
        <v>30049099</v>
      </c>
      <c r="AC271" s="56">
        <v>5</v>
      </c>
    </row>
    <row r="272" spans="1:29" x14ac:dyDescent="0.25">
      <c r="A272" s="37" t="s">
        <v>927</v>
      </c>
      <c r="B272" s="38" t="s">
        <v>933</v>
      </c>
      <c r="C272" s="38"/>
      <c r="D272" s="38" t="s">
        <v>929</v>
      </c>
      <c r="E272" s="38" t="s">
        <v>930</v>
      </c>
      <c r="F272" s="33">
        <v>1</v>
      </c>
      <c r="G272" s="33">
        <v>1</v>
      </c>
      <c r="H272" s="33">
        <f>G272*F272</f>
        <v>1</v>
      </c>
      <c r="I272" s="31" t="s">
        <v>55</v>
      </c>
      <c r="J272" s="36">
        <v>51.51</v>
      </c>
      <c r="K272" s="30">
        <v>297.89</v>
      </c>
      <c r="L272" s="31" t="s">
        <v>55</v>
      </c>
      <c r="M272" s="30">
        <f t="shared" si="30"/>
        <v>51.51</v>
      </c>
      <c r="N272" s="50">
        <v>0</v>
      </c>
      <c r="O272" s="117"/>
      <c r="P272" s="117"/>
      <c r="Q272" s="117">
        <f t="shared" si="28"/>
        <v>51.51</v>
      </c>
      <c r="R272" s="30">
        <f>M272/(1+N272%)</f>
        <v>51.51</v>
      </c>
      <c r="S272" s="87"/>
      <c r="U272" s="83"/>
      <c r="V272" s="32" t="s">
        <v>64</v>
      </c>
      <c r="W272" s="33">
        <v>300</v>
      </c>
      <c r="X272" s="30"/>
      <c r="Y272" s="34">
        <f t="shared" si="29"/>
        <v>0</v>
      </c>
      <c r="Z272" s="55"/>
      <c r="AA272" s="9" t="s">
        <v>932</v>
      </c>
      <c r="AB272" s="56">
        <v>30049099</v>
      </c>
      <c r="AC272" s="56">
        <v>5</v>
      </c>
    </row>
    <row r="273" spans="1:29" ht="15.75" thickBot="1" x14ac:dyDescent="0.3">
      <c r="A273" s="65"/>
      <c r="B273" s="66"/>
      <c r="C273" s="66"/>
      <c r="D273" s="66"/>
      <c r="E273" s="66"/>
      <c r="F273" s="67"/>
      <c r="G273" s="67"/>
      <c r="H273" s="67"/>
      <c r="I273" s="68"/>
      <c r="J273" s="69"/>
      <c r="K273" s="69"/>
      <c r="L273" s="68"/>
      <c r="M273" s="69"/>
      <c r="N273" s="109"/>
      <c r="O273" s="121"/>
      <c r="P273" s="121"/>
      <c r="Q273" s="117">
        <f t="shared" si="28"/>
        <v>0</v>
      </c>
      <c r="R273" s="69"/>
      <c r="S273" s="87"/>
      <c r="U273" s="84"/>
      <c r="V273" s="70"/>
      <c r="W273" s="67"/>
      <c r="X273" s="67"/>
      <c r="Y273" s="71"/>
      <c r="Z273" s="55"/>
      <c r="AA273" s="9"/>
      <c r="AB273" s="56"/>
      <c r="AC273" s="56"/>
    </row>
  </sheetData>
  <mergeCells count="13">
    <mergeCell ref="W3:W4"/>
    <mergeCell ref="H3:H4"/>
    <mergeCell ref="I3:I4"/>
    <mergeCell ref="J3:J4"/>
    <mergeCell ref="K3:K4"/>
    <mergeCell ref="L3:L4"/>
    <mergeCell ref="V3:V4"/>
    <mergeCell ref="G3:G4"/>
    <mergeCell ref="A3:A4"/>
    <mergeCell ref="B3:B4"/>
    <mergeCell ref="D3:D4"/>
    <mergeCell ref="E3:E4"/>
    <mergeCell ref="F3:F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2026-07-29T11:18:29Z</dcterms:modified>
</cp:coreProperties>
</file>